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s" sheetId="1" r:id="rId5"/>
    <sheet state="visible" name="Historico" sheetId="2" r:id="rId6"/>
    <sheet state="visible" name="Data" sheetId="3" r:id="rId7"/>
  </sheets>
  <definedNames/>
  <calcPr/>
</workbook>
</file>

<file path=xl/sharedStrings.xml><?xml version="1.0" encoding="utf-8"?>
<sst xmlns="http://schemas.openxmlformats.org/spreadsheetml/2006/main" count="276" uniqueCount="135">
  <si>
    <t>Proyecto</t>
  </si>
  <si>
    <t>Desarrollador</t>
  </si>
  <si>
    <t>ID</t>
  </si>
  <si>
    <t>Alana Cerro Colorado</t>
  </si>
  <si>
    <t>Grupo VEQ</t>
  </si>
  <si>
    <t>Alan</t>
  </si>
  <si>
    <t>Avita Living San Jose T. Agave</t>
  </si>
  <si>
    <t>Otro</t>
  </si>
  <si>
    <t>Avit</t>
  </si>
  <si>
    <t>Casa Nima</t>
  </si>
  <si>
    <t>Central de Arquitectura</t>
  </si>
  <si>
    <t>Nima</t>
  </si>
  <si>
    <t>Cenit</t>
  </si>
  <si>
    <t>Baja Capstone</t>
  </si>
  <si>
    <t>Ceni</t>
  </si>
  <si>
    <t>Colorado Hills Fase 1</t>
  </si>
  <si>
    <t>Si Soluciones Inmobiliarias</t>
  </si>
  <si>
    <t>Colo</t>
  </si>
  <si>
    <t>Colorado Hills Fase II</t>
  </si>
  <si>
    <t>Hils</t>
  </si>
  <si>
    <t>Cora</t>
  </si>
  <si>
    <t>Grupo Habitat</t>
  </si>
  <si>
    <t>Cora Sur</t>
  </si>
  <si>
    <t>Cosu</t>
  </si>
  <si>
    <t>Dunna</t>
  </si>
  <si>
    <t>N/A</t>
  </si>
  <si>
    <t>Duna</t>
  </si>
  <si>
    <t>El Valle</t>
  </si>
  <si>
    <t>Vale</t>
  </si>
  <si>
    <t>Emma</t>
  </si>
  <si>
    <t>Hideaways</t>
  </si>
  <si>
    <t>Hide</t>
  </si>
  <si>
    <t>La Reserva</t>
  </si>
  <si>
    <t>Tempo Development</t>
  </si>
  <si>
    <t>Rese</t>
  </si>
  <si>
    <t>Laiva Art Walk</t>
  </si>
  <si>
    <t>Walk</t>
  </si>
  <si>
    <t>Larena F.1</t>
  </si>
  <si>
    <t>Lana</t>
  </si>
  <si>
    <t>Mare</t>
  </si>
  <si>
    <t>Cuadro</t>
  </si>
  <si>
    <t>Muralla</t>
  </si>
  <si>
    <t>Grupo Troy</t>
  </si>
  <si>
    <t>Mura</t>
  </si>
  <si>
    <t>Nolah</t>
  </si>
  <si>
    <t>Nola</t>
  </si>
  <si>
    <t>North Enclave Fase 1</t>
  </si>
  <si>
    <t>Nort</t>
  </si>
  <si>
    <t>One Marina Place</t>
  </si>
  <si>
    <t>OneM</t>
  </si>
  <si>
    <t>Paramo</t>
  </si>
  <si>
    <t>Para</t>
  </si>
  <si>
    <t>Punto Nima</t>
  </si>
  <si>
    <t>Fortem Capital</t>
  </si>
  <si>
    <t>Puma</t>
  </si>
  <si>
    <t>Santarena</t>
  </si>
  <si>
    <t>Rena</t>
  </si>
  <si>
    <t>Sun &amp; Sea condos</t>
  </si>
  <si>
    <t>Construyendo Alkimia</t>
  </si>
  <si>
    <t>Suse</t>
  </si>
  <si>
    <t>THE CANYON ENTRE PIEDRAS</t>
  </si>
  <si>
    <t>Cany</t>
  </si>
  <si>
    <t>Tortuga Bay</t>
  </si>
  <si>
    <t>Tuga</t>
  </si>
  <si>
    <t>Verandas</t>
  </si>
  <si>
    <t>Vera</t>
  </si>
  <si>
    <t>Vitai T1</t>
  </si>
  <si>
    <t>Vita</t>
  </si>
  <si>
    <t>Wen Living</t>
  </si>
  <si>
    <t>Awen Developers</t>
  </si>
  <si>
    <t>Weli</t>
  </si>
  <si>
    <t>Trimestre</t>
  </si>
  <si>
    <t>Proyectos_A</t>
  </si>
  <si>
    <t>Proyectos_N</t>
  </si>
  <si>
    <t>Stock_Inicial_A</t>
  </si>
  <si>
    <t>Stock_Inicial_N</t>
  </si>
  <si>
    <t>Inventario</t>
  </si>
  <si>
    <t>Ticket</t>
  </si>
  <si>
    <t>$xm2</t>
  </si>
  <si>
    <t>Superficie</t>
  </si>
  <si>
    <t>Ventas</t>
  </si>
  <si>
    <t>Absorcion</t>
  </si>
  <si>
    <t>Meses_Inventario</t>
  </si>
  <si>
    <t>2020 - Q1</t>
  </si>
  <si>
    <t>2020 - Q2</t>
  </si>
  <si>
    <t>2020 - Q3</t>
  </si>
  <si>
    <t>2020 - Q4</t>
  </si>
  <si>
    <t>2021 - Q1</t>
  </si>
  <si>
    <t>2021 - Q2</t>
  </si>
  <si>
    <t>2021 - Q3</t>
  </si>
  <si>
    <t>2021 - Q4</t>
  </si>
  <si>
    <t>2022 - Q1</t>
  </si>
  <si>
    <t>2022 - Q2</t>
  </si>
  <si>
    <t>2022 - Q3</t>
  </si>
  <si>
    <t>2022 - Q4</t>
  </si>
  <si>
    <t>2023 - Q1</t>
  </si>
  <si>
    <t>2023 - Q2</t>
  </si>
  <si>
    <t>2023 - Q3</t>
  </si>
  <si>
    <t>2023 - Q4</t>
  </si>
  <si>
    <t>2024 - Q1</t>
  </si>
  <si>
    <t>2024 - Q2</t>
  </si>
  <si>
    <t>2024 - Q3</t>
  </si>
  <si>
    <t>2024 - Q4</t>
  </si>
  <si>
    <t>2025 - Q1</t>
  </si>
  <si>
    <t>2025 - Q2</t>
  </si>
  <si>
    <t>2025 - Q3</t>
  </si>
  <si>
    <t>Stock_Inicial</t>
  </si>
  <si>
    <t>Absorcion_H</t>
  </si>
  <si>
    <t>Meses_Mercado</t>
  </si>
  <si>
    <t>Estatus</t>
  </si>
  <si>
    <t>Latitud</t>
  </si>
  <si>
    <t>Longitud</t>
  </si>
  <si>
    <t>Fecha_Inicio</t>
  </si>
  <si>
    <t>Ultimo_Levantamiento</t>
  </si>
  <si>
    <t>Alberca</t>
  </si>
  <si>
    <t>Asadores</t>
  </si>
  <si>
    <t>Bar</t>
  </si>
  <si>
    <t>Canchas Deportivas</t>
  </si>
  <si>
    <t>Casa Club</t>
  </si>
  <si>
    <t>Fogatero</t>
  </si>
  <si>
    <t>Gimnasio</t>
  </si>
  <si>
    <t>Jacuzzi</t>
  </si>
  <si>
    <t>Ludoteca</t>
  </si>
  <si>
    <t>Pet Zone</t>
  </si>
  <si>
    <t xml:space="preserve">Pista de Jogging </t>
  </si>
  <si>
    <t>Sala de Cine</t>
  </si>
  <si>
    <t>Salón de Usos Multiples</t>
  </si>
  <si>
    <t>Salón de Yoga</t>
  </si>
  <si>
    <t>Sauna</t>
  </si>
  <si>
    <t>Spa</t>
  </si>
  <si>
    <t>Terraza</t>
  </si>
  <si>
    <t>Preventa</t>
  </si>
  <si>
    <t>En Construcción</t>
  </si>
  <si>
    <t>Terminado</t>
  </si>
  <si>
    <t>Friends &amp; Family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</si>
</sst>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###0"/>
    <numFmt numFmtId="166" formatCode="##00.0000"/>
    <numFmt numFmtId="167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Poppins"/>
    </font>
    <font>
      <sz val="8.0"/>
      <color theme="1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2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shrinkToFit="0" wrapText="1"/>
    </xf>
    <xf borderId="0" fillId="0" fontId="4" numFmtId="2" xfId="0" applyAlignment="1" applyFont="1" applyNumberFormat="1">
      <alignment horizontal="center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4.38"/>
    <col customWidth="1" min="3" max="3" width="14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16</v>
      </c>
      <c r="C7" s="1" t="s">
        <v>19</v>
      </c>
    </row>
    <row r="8">
      <c r="A8" s="1" t="s">
        <v>20</v>
      </c>
      <c r="B8" s="1" t="s">
        <v>21</v>
      </c>
      <c r="C8" s="1" t="s">
        <v>20</v>
      </c>
    </row>
    <row r="9">
      <c r="A9" s="1" t="s">
        <v>22</v>
      </c>
      <c r="B9" s="1" t="s">
        <v>21</v>
      </c>
      <c r="C9" s="1" t="s">
        <v>23</v>
      </c>
    </row>
    <row r="10">
      <c r="A10" s="1" t="s">
        <v>24</v>
      </c>
      <c r="B10" s="1" t="s">
        <v>25</v>
      </c>
      <c r="C10" s="1" t="s">
        <v>26</v>
      </c>
    </row>
    <row r="11">
      <c r="A11" s="1" t="s">
        <v>27</v>
      </c>
      <c r="B11" s="1" t="s">
        <v>25</v>
      </c>
      <c r="C11" s="1" t="s">
        <v>28</v>
      </c>
    </row>
    <row r="12">
      <c r="A12" s="1" t="s">
        <v>29</v>
      </c>
      <c r="B12" s="1" t="s">
        <v>25</v>
      </c>
      <c r="C12" s="1" t="s">
        <v>29</v>
      </c>
    </row>
    <row r="13">
      <c r="A13" s="1" t="s">
        <v>30</v>
      </c>
      <c r="B13" s="1" t="s">
        <v>25</v>
      </c>
      <c r="C13" s="1" t="s">
        <v>31</v>
      </c>
    </row>
    <row r="14">
      <c r="A14" s="1" t="s">
        <v>32</v>
      </c>
      <c r="B14" s="1" t="s">
        <v>33</v>
      </c>
      <c r="C14" s="1" t="s">
        <v>34</v>
      </c>
    </row>
    <row r="15">
      <c r="A15" s="1" t="s">
        <v>35</v>
      </c>
      <c r="B15" s="1" t="s">
        <v>25</v>
      </c>
      <c r="C15" s="1" t="s">
        <v>36</v>
      </c>
    </row>
    <row r="16">
      <c r="A16" s="1" t="s">
        <v>37</v>
      </c>
      <c r="B16" s="1" t="s">
        <v>25</v>
      </c>
      <c r="C16" s="1" t="s">
        <v>38</v>
      </c>
    </row>
    <row r="17">
      <c r="A17" s="1" t="s">
        <v>39</v>
      </c>
      <c r="B17" s="1" t="s">
        <v>40</v>
      </c>
      <c r="C17" s="1" t="s">
        <v>39</v>
      </c>
    </row>
    <row r="18">
      <c r="A18" s="1" t="s">
        <v>41</v>
      </c>
      <c r="B18" s="1" t="s">
        <v>42</v>
      </c>
      <c r="C18" s="1" t="s">
        <v>43</v>
      </c>
    </row>
    <row r="19">
      <c r="A19" s="1" t="s">
        <v>44</v>
      </c>
      <c r="B19" s="1" t="s">
        <v>13</v>
      </c>
      <c r="C19" s="1" t="s">
        <v>45</v>
      </c>
    </row>
    <row r="20">
      <c r="A20" s="1" t="s">
        <v>46</v>
      </c>
      <c r="B20" s="1" t="s">
        <v>25</v>
      </c>
      <c r="C20" s="1" t="s">
        <v>47</v>
      </c>
    </row>
    <row r="21">
      <c r="A21" s="1" t="s">
        <v>48</v>
      </c>
      <c r="B21" s="1" t="s">
        <v>13</v>
      </c>
      <c r="C21" s="1" t="s">
        <v>49</v>
      </c>
    </row>
    <row r="22">
      <c r="A22" s="1" t="s">
        <v>50</v>
      </c>
      <c r="B22" s="1" t="s">
        <v>25</v>
      </c>
      <c r="C22" s="1" t="s">
        <v>51</v>
      </c>
    </row>
    <row r="23">
      <c r="A23" s="1" t="s">
        <v>52</v>
      </c>
      <c r="B23" s="1" t="s">
        <v>53</v>
      </c>
      <c r="C23" s="1" t="s">
        <v>54</v>
      </c>
    </row>
    <row r="24">
      <c r="A24" s="1" t="s">
        <v>55</v>
      </c>
      <c r="B24" s="1" t="s">
        <v>25</v>
      </c>
      <c r="C24" s="1" t="s">
        <v>56</v>
      </c>
    </row>
    <row r="25">
      <c r="A25" s="1" t="s">
        <v>57</v>
      </c>
      <c r="B25" s="1" t="s">
        <v>58</v>
      </c>
      <c r="C25" s="1" t="s">
        <v>59</v>
      </c>
    </row>
    <row r="26">
      <c r="A26" s="1" t="s">
        <v>60</v>
      </c>
      <c r="B26" s="1" t="s">
        <v>25</v>
      </c>
      <c r="C26" s="1" t="s">
        <v>61</v>
      </c>
    </row>
    <row r="27">
      <c r="A27" s="1" t="s">
        <v>62</v>
      </c>
      <c r="B27" s="1" t="s">
        <v>25</v>
      </c>
      <c r="C27" s="1" t="s">
        <v>63</v>
      </c>
    </row>
    <row r="28">
      <c r="A28" s="1" t="s">
        <v>64</v>
      </c>
      <c r="B28" s="1" t="s">
        <v>25</v>
      </c>
      <c r="C28" s="1" t="s">
        <v>65</v>
      </c>
    </row>
    <row r="29">
      <c r="A29" s="1" t="s">
        <v>66</v>
      </c>
      <c r="B29" s="1" t="s">
        <v>25</v>
      </c>
      <c r="C29" s="1" t="s">
        <v>67</v>
      </c>
    </row>
    <row r="30">
      <c r="A30" s="1" t="s">
        <v>68</v>
      </c>
      <c r="B30" s="1" t="s">
        <v>69</v>
      </c>
      <c r="C30" s="1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  <col customWidth="1" min="5" max="5" width="14.5"/>
    <col customWidth="1" min="12" max="12" width="21.5"/>
  </cols>
  <sheetData>
    <row r="1">
      <c r="A1" s="2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 t="s">
        <v>77</v>
      </c>
      <c r="H1" s="4" t="s">
        <v>78</v>
      </c>
      <c r="I1" s="4" t="s">
        <v>79</v>
      </c>
      <c r="J1" s="3" t="s">
        <v>80</v>
      </c>
      <c r="K1" s="4" t="s">
        <v>81</v>
      </c>
      <c r="L1" s="3" t="s">
        <v>82</v>
      </c>
    </row>
    <row r="2">
      <c r="A2" s="5" t="s">
        <v>83</v>
      </c>
      <c r="B2" s="5">
        <v>3.0</v>
      </c>
      <c r="C2" s="5">
        <v>0.0</v>
      </c>
      <c r="D2" s="5">
        <v>89.0</v>
      </c>
      <c r="E2" s="5">
        <v>0.0</v>
      </c>
      <c r="F2" s="5">
        <v>67.0</v>
      </c>
      <c r="G2" s="6">
        <v>15.185996972686517</v>
      </c>
      <c r="H2" s="6">
        <v>104.43571262421098</v>
      </c>
      <c r="I2" s="6">
        <v>145.41</v>
      </c>
      <c r="J2" s="5">
        <v>3.0</v>
      </c>
      <c r="K2" s="6">
        <v>1.0</v>
      </c>
      <c r="L2" s="6">
        <v>34.20284618502299</v>
      </c>
    </row>
    <row r="3">
      <c r="A3" s="5" t="s">
        <v>84</v>
      </c>
      <c r="B3" s="5">
        <v>4.0</v>
      </c>
      <c r="C3" s="5">
        <v>1.0</v>
      </c>
      <c r="D3" s="5">
        <v>165.0</v>
      </c>
      <c r="E3" s="5">
        <v>76.0</v>
      </c>
      <c r="F3" s="5">
        <v>126.0</v>
      </c>
      <c r="G3" s="6">
        <v>12.83</v>
      </c>
      <c r="H3" s="6">
        <v>88.34262893341597</v>
      </c>
      <c r="I3" s="6">
        <v>145.23</v>
      </c>
      <c r="J3" s="5">
        <v>17.0</v>
      </c>
      <c r="K3" s="6">
        <v>5.666666666666667</v>
      </c>
      <c r="L3" s="6">
        <v>32.00933253101828</v>
      </c>
    </row>
    <row r="4">
      <c r="A4" s="5" t="s">
        <v>85</v>
      </c>
      <c r="B4" s="5">
        <v>4.0</v>
      </c>
      <c r="C4" s="5">
        <v>0.0</v>
      </c>
      <c r="D4" s="5">
        <v>165.0</v>
      </c>
      <c r="E4" s="5">
        <v>0.0</v>
      </c>
      <c r="F4" s="5">
        <v>117.0</v>
      </c>
      <c r="G4" s="6">
        <v>12.23</v>
      </c>
      <c r="H4" s="6">
        <v>84.26927582167713</v>
      </c>
      <c r="I4" s="6">
        <v>145.13</v>
      </c>
      <c r="J4" s="5">
        <v>9.0</v>
      </c>
      <c r="K4" s="6">
        <v>3.0</v>
      </c>
      <c r="L4" s="6">
        <v>30.247602072031754</v>
      </c>
    </row>
    <row r="5">
      <c r="A5" s="5" t="s">
        <v>86</v>
      </c>
      <c r="B5" s="5">
        <v>7.0</v>
      </c>
      <c r="C5" s="5">
        <v>3.0</v>
      </c>
      <c r="D5" s="5">
        <v>276.0</v>
      </c>
      <c r="E5" s="5">
        <v>111.0</v>
      </c>
      <c r="F5" s="5">
        <v>208.0</v>
      </c>
      <c r="G5" s="6">
        <v>9.73</v>
      </c>
      <c r="H5" s="6">
        <v>73.56721608952064</v>
      </c>
      <c r="I5" s="6">
        <v>132.26</v>
      </c>
      <c r="J5" s="5">
        <v>20.0</v>
      </c>
      <c r="K5" s="6">
        <v>6.666666666666667</v>
      </c>
      <c r="L5" s="6">
        <v>27.099842255122233</v>
      </c>
    </row>
    <row r="6">
      <c r="A6" s="5" t="s">
        <v>87</v>
      </c>
      <c r="B6" s="5">
        <v>8.0</v>
      </c>
      <c r="C6" s="5">
        <v>1.0</v>
      </c>
      <c r="D6" s="5">
        <v>442.0</v>
      </c>
      <c r="E6" s="5">
        <v>166.0</v>
      </c>
      <c r="F6" s="5">
        <v>328.0</v>
      </c>
      <c r="G6" s="6">
        <v>7.639615889566463</v>
      </c>
      <c r="H6" s="6">
        <v>60.36945025261127</v>
      </c>
      <c r="I6" s="6">
        <v>126.54771341463413</v>
      </c>
      <c r="J6" s="5">
        <v>46.0</v>
      </c>
      <c r="K6" s="6">
        <v>15.333333333333332</v>
      </c>
      <c r="L6" s="6">
        <v>21.39130434782609</v>
      </c>
    </row>
    <row r="7">
      <c r="A7" s="5" t="s">
        <v>88</v>
      </c>
      <c r="B7" s="5">
        <v>14.0</v>
      </c>
      <c r="C7" s="5">
        <v>6.0</v>
      </c>
      <c r="D7" s="5">
        <v>604.0</v>
      </c>
      <c r="E7" s="5">
        <v>162.0</v>
      </c>
      <c r="F7" s="5">
        <v>448.0</v>
      </c>
      <c r="G7" s="6">
        <v>7.15492198185982</v>
      </c>
      <c r="H7" s="6">
        <v>55.41728520516413</v>
      </c>
      <c r="I7" s="6">
        <v>129.10993303571428</v>
      </c>
      <c r="J7" s="5">
        <v>42.0</v>
      </c>
      <c r="K7" s="6">
        <v>14.0</v>
      </c>
      <c r="L7" s="6">
        <v>32.0</v>
      </c>
    </row>
    <row r="8">
      <c r="A8" s="5" t="s">
        <v>89</v>
      </c>
      <c r="B8" s="5">
        <v>17.0</v>
      </c>
      <c r="C8" s="5">
        <v>3.0</v>
      </c>
      <c r="D8" s="5">
        <v>679.0</v>
      </c>
      <c r="E8" s="5">
        <v>75.0</v>
      </c>
      <c r="F8" s="5">
        <v>469.0</v>
      </c>
      <c r="G8" s="6">
        <v>7.4906597063298515</v>
      </c>
      <c r="H8" s="6">
        <v>57.63788204747967</v>
      </c>
      <c r="I8" s="6">
        <v>129.96070362473347</v>
      </c>
      <c r="J8" s="5">
        <v>54.0</v>
      </c>
      <c r="K8" s="6">
        <v>18.0</v>
      </c>
      <c r="L8" s="6">
        <v>26.055555555555557</v>
      </c>
    </row>
    <row r="9">
      <c r="A9" s="5" t="s">
        <v>90</v>
      </c>
      <c r="B9" s="5">
        <v>23.0</v>
      </c>
      <c r="C9" s="5">
        <v>6.0</v>
      </c>
      <c r="D9" s="5">
        <v>987.0</v>
      </c>
      <c r="E9" s="5">
        <v>308.0</v>
      </c>
      <c r="F9" s="5">
        <v>694.0</v>
      </c>
      <c r="G9" s="6">
        <v>10.66350772170605</v>
      </c>
      <c r="H9" s="6">
        <v>69.26930026826093</v>
      </c>
      <c r="I9" s="6">
        <v>153.94276657060516</v>
      </c>
      <c r="J9" s="5">
        <v>83.0</v>
      </c>
      <c r="K9" s="6">
        <v>27.666666666666664</v>
      </c>
      <c r="L9" s="6">
        <v>25.084337349397593</v>
      </c>
    </row>
    <row r="10">
      <c r="A10" s="5" t="s">
        <v>91</v>
      </c>
      <c r="B10" s="5">
        <v>27.0</v>
      </c>
      <c r="C10" s="5">
        <v>4.0</v>
      </c>
      <c r="D10" s="5">
        <v>1132.0</v>
      </c>
      <c r="E10" s="5">
        <v>145.0</v>
      </c>
      <c r="F10" s="5">
        <v>724.0</v>
      </c>
      <c r="G10" s="6">
        <v>10.651744868523343</v>
      </c>
      <c r="H10" s="6">
        <v>66.69869002739952</v>
      </c>
      <c r="I10" s="6">
        <v>159.6994613259669</v>
      </c>
      <c r="J10" s="5">
        <v>114.99999999999999</v>
      </c>
      <c r="K10" s="6">
        <v>38.33333333333333</v>
      </c>
      <c r="L10" s="6">
        <v>18.886956521739133</v>
      </c>
    </row>
    <row r="11">
      <c r="A11" s="5" t="s">
        <v>92</v>
      </c>
      <c r="B11" s="5">
        <v>39.0</v>
      </c>
      <c r="C11" s="5">
        <v>12.0</v>
      </c>
      <c r="D11" s="5">
        <v>1774.0</v>
      </c>
      <c r="E11" s="5">
        <v>642.0</v>
      </c>
      <c r="F11" s="5">
        <v>1145.0</v>
      </c>
      <c r="G11" s="6">
        <v>10.043086710166222</v>
      </c>
      <c r="H11" s="6">
        <v>65.28812712743208</v>
      </c>
      <c r="I11" s="6">
        <v>153.82715283842816</v>
      </c>
      <c r="J11" s="5">
        <v>220.99999999999997</v>
      </c>
      <c r="K11" s="6">
        <v>73.66666666666666</v>
      </c>
      <c r="L11" s="6">
        <v>15.542986425339368</v>
      </c>
    </row>
    <row r="12">
      <c r="A12" s="5" t="s">
        <v>93</v>
      </c>
      <c r="B12" s="5">
        <v>52.0</v>
      </c>
      <c r="C12" s="5">
        <v>13.0</v>
      </c>
      <c r="D12" s="5">
        <v>2201.0</v>
      </c>
      <c r="E12" s="5">
        <v>427.0</v>
      </c>
      <c r="F12" s="5">
        <v>1339.0</v>
      </c>
      <c r="G12" s="6">
        <v>10.332644202572068</v>
      </c>
      <c r="H12" s="6">
        <v>68.85582673334346</v>
      </c>
      <c r="I12" s="6">
        <v>150.06201643017206</v>
      </c>
      <c r="J12" s="5">
        <v>232.99999999999997</v>
      </c>
      <c r="K12" s="6">
        <v>77.66666666666666</v>
      </c>
      <c r="L12" s="6">
        <v>17.240343347639488</v>
      </c>
    </row>
    <row r="13">
      <c r="A13" s="5" t="s">
        <v>94</v>
      </c>
      <c r="B13" s="5">
        <v>59.0</v>
      </c>
      <c r="C13" s="5">
        <v>7.0</v>
      </c>
      <c r="D13" s="5">
        <v>2309.0</v>
      </c>
      <c r="E13" s="5">
        <v>108.0</v>
      </c>
      <c r="F13" s="5">
        <v>1221.0</v>
      </c>
      <c r="G13" s="6">
        <v>11.203950211187141</v>
      </c>
      <c r="H13" s="6">
        <v>72.67256135686385</v>
      </c>
      <c r="I13" s="6">
        <v>154.17029484029516</v>
      </c>
      <c r="J13" s="5">
        <v>226.0</v>
      </c>
      <c r="K13" s="6">
        <v>75.33333333333333</v>
      </c>
      <c r="L13" s="6">
        <v>16.207964601769913</v>
      </c>
    </row>
    <row r="14">
      <c r="A14" s="5" t="s">
        <v>95</v>
      </c>
      <c r="B14" s="5">
        <v>64.0</v>
      </c>
      <c r="C14" s="5">
        <v>5.0</v>
      </c>
      <c r="D14" s="5">
        <v>2444.0</v>
      </c>
      <c r="E14" s="5">
        <v>135.0</v>
      </c>
      <c r="F14" s="5">
        <v>1114.0</v>
      </c>
      <c r="G14" s="6">
        <v>11.132102112457629</v>
      </c>
      <c r="H14" s="6">
        <v>73.16943824988127</v>
      </c>
      <c r="I14" s="6">
        <v>152.141418312388</v>
      </c>
      <c r="J14" s="5">
        <v>241.99999999999997</v>
      </c>
      <c r="K14" s="6">
        <v>80.66666666666666</v>
      </c>
      <c r="L14" s="6">
        <v>13.809917355371903</v>
      </c>
    </row>
    <row r="15">
      <c r="A15" s="5" t="s">
        <v>96</v>
      </c>
      <c r="B15" s="5">
        <v>71.0</v>
      </c>
      <c r="C15" s="5">
        <v>7.0</v>
      </c>
      <c r="D15" s="5">
        <v>2693.0</v>
      </c>
      <c r="E15" s="5">
        <v>249.0</v>
      </c>
      <c r="F15" s="5">
        <v>1131.0</v>
      </c>
      <c r="G15" s="6">
        <v>10.882730187410077</v>
      </c>
      <c r="H15" s="6">
        <v>72.05606577653889</v>
      </c>
      <c r="I15" s="6">
        <v>151.03142351900985</v>
      </c>
      <c r="J15" s="5">
        <v>232.0</v>
      </c>
      <c r="K15" s="6">
        <v>77.33333333333333</v>
      </c>
      <c r="L15" s="6">
        <v>14.625000000000002</v>
      </c>
    </row>
    <row r="16">
      <c r="A16" s="5" t="s">
        <v>97</v>
      </c>
      <c r="B16" s="5">
        <v>75.0</v>
      </c>
      <c r="C16" s="5">
        <v>4.0</v>
      </c>
      <c r="D16" s="5">
        <v>2786.0</v>
      </c>
      <c r="E16" s="5">
        <v>93.0</v>
      </c>
      <c r="F16" s="5">
        <v>1019.0</v>
      </c>
      <c r="G16" s="6">
        <v>11.439200560814145</v>
      </c>
      <c r="H16" s="6">
        <v>74.09154308676509</v>
      </c>
      <c r="I16" s="6">
        <v>154.39279685966642</v>
      </c>
      <c r="J16" s="5">
        <v>205.0</v>
      </c>
      <c r="K16" s="6">
        <v>68.33333333333333</v>
      </c>
      <c r="L16" s="6">
        <v>14.912195121951221</v>
      </c>
    </row>
    <row r="17">
      <c r="A17" s="5" t="s">
        <v>98</v>
      </c>
      <c r="B17" s="5">
        <v>80.0</v>
      </c>
      <c r="C17" s="5">
        <v>9.0</v>
      </c>
      <c r="D17" s="5">
        <v>2879.0</v>
      </c>
      <c r="E17" s="5">
        <v>237.0</v>
      </c>
      <c r="F17" s="5">
        <v>1098.0</v>
      </c>
      <c r="G17" s="6">
        <v>11.306405592523861</v>
      </c>
      <c r="H17" s="6">
        <v>72.4314588040253</v>
      </c>
      <c r="I17" s="6">
        <v>156.09799635701276</v>
      </c>
      <c r="J17" s="5">
        <v>158.0</v>
      </c>
      <c r="K17" s="6">
        <v>52.666666666666664</v>
      </c>
      <c r="L17" s="6">
        <v>20.848101265822784</v>
      </c>
    </row>
    <row r="18">
      <c r="A18" s="5" t="s">
        <v>99</v>
      </c>
      <c r="B18" s="5">
        <v>83.0</v>
      </c>
      <c r="C18" s="5">
        <v>7.0</v>
      </c>
      <c r="D18" s="5">
        <v>2925.0</v>
      </c>
      <c r="E18" s="5">
        <v>139.0</v>
      </c>
      <c r="F18" s="5">
        <v>1085.0</v>
      </c>
      <c r="G18" s="6">
        <v>11.108532886762672</v>
      </c>
      <c r="H18" s="6">
        <v>70.93565185179133</v>
      </c>
      <c r="I18" s="6">
        <v>156.60013824884797</v>
      </c>
      <c r="J18" s="5">
        <v>152.0</v>
      </c>
      <c r="K18" s="6">
        <v>50.666666666666664</v>
      </c>
      <c r="L18" s="6">
        <v>21.414473684210527</v>
      </c>
    </row>
    <row r="19">
      <c r="A19" s="5" t="s">
        <v>100</v>
      </c>
      <c r="B19" s="5">
        <v>86.0</v>
      </c>
      <c r="C19" s="5">
        <v>5.0</v>
      </c>
      <c r="D19" s="5">
        <v>3007.0</v>
      </c>
      <c r="E19" s="5">
        <v>117.0</v>
      </c>
      <c r="F19" s="5">
        <v>1075.0</v>
      </c>
      <c r="G19" s="6">
        <v>12.258504687992806</v>
      </c>
      <c r="H19" s="6">
        <v>77.92508108545275</v>
      </c>
      <c r="I19" s="6">
        <v>157.3114139534884</v>
      </c>
      <c r="J19" s="5">
        <v>126.99999999999999</v>
      </c>
      <c r="K19" s="6">
        <v>42.33333333333333</v>
      </c>
      <c r="L19" s="6">
        <v>25.393700787401578</v>
      </c>
    </row>
    <row r="20">
      <c r="A20" s="5" t="s">
        <v>101</v>
      </c>
      <c r="B20" s="5">
        <v>88.0</v>
      </c>
      <c r="C20" s="5">
        <v>5.0</v>
      </c>
      <c r="D20" s="5">
        <v>3043.0</v>
      </c>
      <c r="E20" s="5">
        <v>119.0</v>
      </c>
      <c r="F20" s="5">
        <v>1052.0</v>
      </c>
      <c r="G20" s="6">
        <v>12.836002560973528</v>
      </c>
      <c r="H20" s="6">
        <v>83.47484671714636</v>
      </c>
      <c r="I20" s="6">
        <v>153.77090304182514</v>
      </c>
      <c r="J20" s="5">
        <v>142.0</v>
      </c>
      <c r="K20" s="6">
        <v>47.33333333333333</v>
      </c>
      <c r="L20" s="6">
        <v>22.22535211267606</v>
      </c>
    </row>
    <row r="21">
      <c r="A21" s="5" t="s">
        <v>102</v>
      </c>
      <c r="B21" s="5">
        <v>92.0</v>
      </c>
      <c r="C21" s="5">
        <v>6.0</v>
      </c>
      <c r="D21" s="5">
        <v>3173.0</v>
      </c>
      <c r="E21" s="5">
        <v>185.0</v>
      </c>
      <c r="F21" s="5">
        <v>1133.0</v>
      </c>
      <c r="G21" s="6">
        <v>12.34996537292511</v>
      </c>
      <c r="H21" s="6">
        <v>85.11902125655688</v>
      </c>
      <c r="I21" s="6">
        <v>145.09054721977046</v>
      </c>
      <c r="J21" s="5">
        <v>104.0</v>
      </c>
      <c r="K21" s="6">
        <v>34.666666666666664</v>
      </c>
      <c r="L21" s="6">
        <v>32.68269230769231</v>
      </c>
    </row>
    <row r="22">
      <c r="A22" s="5" t="s">
        <v>103</v>
      </c>
      <c r="B22" s="5">
        <v>100.0</v>
      </c>
      <c r="C22" s="5">
        <v>13.0</v>
      </c>
      <c r="D22" s="5">
        <v>3465.0</v>
      </c>
      <c r="E22" s="5">
        <v>403.0</v>
      </c>
      <c r="F22" s="5">
        <v>1409.0</v>
      </c>
      <c r="G22" s="6">
        <v>13.1849669914643</v>
      </c>
      <c r="H22" s="6">
        <v>90.33982726042616</v>
      </c>
      <c r="I22" s="6">
        <v>145.94855216465578</v>
      </c>
      <c r="J22" s="5">
        <v>127.0</v>
      </c>
      <c r="K22" s="6">
        <v>39.33333333333333</v>
      </c>
      <c r="L22" s="6">
        <v>35.82203389830509</v>
      </c>
    </row>
    <row r="23">
      <c r="A23" s="5" t="s">
        <v>104</v>
      </c>
      <c r="B23" s="5">
        <v>104.0</v>
      </c>
      <c r="C23" s="5">
        <v>2.0</v>
      </c>
      <c r="D23" s="5">
        <v>3588.0</v>
      </c>
      <c r="E23" s="5">
        <v>68.0</v>
      </c>
      <c r="F23" s="5">
        <v>1385.0</v>
      </c>
      <c r="G23" s="6">
        <v>12.489669865970066</v>
      </c>
      <c r="H23" s="6">
        <v>84.55964160954882</v>
      </c>
      <c r="I23" s="6">
        <v>147.70249291784702</v>
      </c>
      <c r="J23" s="5">
        <v>105.0</v>
      </c>
      <c r="K23" s="6">
        <v>35.0</v>
      </c>
      <c r="L23" s="6">
        <v>39.57142857142857</v>
      </c>
    </row>
    <row r="24">
      <c r="A24" s="5" t="s">
        <v>105</v>
      </c>
      <c r="B24" s="5">
        <v>105.0</v>
      </c>
      <c r="C24" s="5">
        <v>2.0</v>
      </c>
      <c r="D24" s="5">
        <v>3637.0</v>
      </c>
      <c r="E24" s="5">
        <v>64.0</v>
      </c>
      <c r="F24" s="5">
        <v>1355.0</v>
      </c>
      <c r="G24" s="6">
        <v>12.011196706039248</v>
      </c>
      <c r="H24" s="6">
        <v>81.26379491023472</v>
      </c>
      <c r="I24" s="6">
        <v>147.80501845018446</v>
      </c>
      <c r="J24" s="5">
        <v>94.0</v>
      </c>
      <c r="K24" s="6">
        <v>31.333333333333332</v>
      </c>
      <c r="L24" s="6">
        <v>43.24468085106383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3.75"/>
  </cols>
  <sheetData>
    <row r="1">
      <c r="A1" s="7" t="s">
        <v>0</v>
      </c>
      <c r="B1" s="1" t="s">
        <v>1</v>
      </c>
      <c r="C1" s="8" t="s">
        <v>2</v>
      </c>
      <c r="D1" s="8" t="s">
        <v>106</v>
      </c>
      <c r="E1" s="8" t="s">
        <v>80</v>
      </c>
      <c r="F1" s="8" t="s">
        <v>81</v>
      </c>
      <c r="G1" s="9" t="s">
        <v>107</v>
      </c>
      <c r="H1" s="9" t="s">
        <v>82</v>
      </c>
      <c r="I1" s="9" t="s">
        <v>108</v>
      </c>
      <c r="J1" s="8" t="s">
        <v>76</v>
      </c>
      <c r="K1" s="10" t="s">
        <v>77</v>
      </c>
      <c r="L1" s="10" t="s">
        <v>78</v>
      </c>
      <c r="M1" s="4" t="s">
        <v>79</v>
      </c>
      <c r="N1" s="7" t="s">
        <v>109</v>
      </c>
      <c r="O1" s="7" t="s">
        <v>110</v>
      </c>
      <c r="P1" s="7" t="s">
        <v>111</v>
      </c>
      <c r="Q1" s="11" t="s">
        <v>112</v>
      </c>
      <c r="R1" s="11" t="s">
        <v>113</v>
      </c>
      <c r="S1" s="12" t="s">
        <v>114</v>
      </c>
      <c r="T1" s="12" t="s">
        <v>115</v>
      </c>
      <c r="U1" s="12" t="s">
        <v>116</v>
      </c>
      <c r="V1" s="12" t="s">
        <v>117</v>
      </c>
      <c r="W1" s="12" t="s">
        <v>118</v>
      </c>
      <c r="X1" s="12" t="s">
        <v>119</v>
      </c>
      <c r="Y1" s="12" t="s">
        <v>120</v>
      </c>
      <c r="Z1" s="12" t="s">
        <v>121</v>
      </c>
      <c r="AA1" s="12" t="s">
        <v>122</v>
      </c>
      <c r="AB1" s="12" t="s">
        <v>123</v>
      </c>
      <c r="AC1" s="12" t="s">
        <v>124</v>
      </c>
      <c r="AD1" s="12" t="s">
        <v>125</v>
      </c>
      <c r="AE1" s="12" t="s">
        <v>126</v>
      </c>
      <c r="AF1" s="12" t="s">
        <v>127</v>
      </c>
      <c r="AG1" s="12" t="s">
        <v>128</v>
      </c>
      <c r="AH1" s="12" t="s">
        <v>129</v>
      </c>
      <c r="AI1" s="12" t="s">
        <v>130</v>
      </c>
    </row>
    <row r="2">
      <c r="A2" s="7" t="s">
        <v>24</v>
      </c>
      <c r="B2" s="1" t="s">
        <v>4</v>
      </c>
      <c r="C2" s="1" t="s">
        <v>5</v>
      </c>
      <c r="D2" s="13">
        <v>21.0</v>
      </c>
      <c r="E2" s="13">
        <v>12.0</v>
      </c>
      <c r="F2" s="14">
        <v>2.5555555555555554</v>
      </c>
      <c r="G2" s="14">
        <v>2.5555555555555554</v>
      </c>
      <c r="H2" s="15">
        <f t="shared" ref="H2:H30" si="1">IFERROR(J2/F2,0)</f>
        <v>16.43478261</v>
      </c>
      <c r="I2" s="15">
        <v>9.0</v>
      </c>
      <c r="J2" s="16">
        <v>42.0</v>
      </c>
      <c r="K2" s="17">
        <v>2.1153086187571E7</v>
      </c>
      <c r="L2" s="17">
        <f t="shared" ref="L2:L30" si="2">K2/M2</f>
        <v>101685.8899</v>
      </c>
      <c r="M2" s="18">
        <v>208.02380952380952</v>
      </c>
      <c r="N2" s="7" t="s">
        <v>131</v>
      </c>
      <c r="O2" s="19">
        <v>22.993750876692687</v>
      </c>
      <c r="P2" s="19">
        <v>-109.73706388878435</v>
      </c>
      <c r="Q2" s="20">
        <v>45658.0</v>
      </c>
      <c r="R2" s="21">
        <v>45931.0</v>
      </c>
      <c r="S2" s="12">
        <v>1.0</v>
      </c>
      <c r="T2" s="12">
        <v>1.0</v>
      </c>
      <c r="U2" s="12">
        <v>1.0</v>
      </c>
      <c r="V2" s="12">
        <v>0.0</v>
      </c>
      <c r="W2" s="12">
        <v>0.0</v>
      </c>
      <c r="X2" s="12">
        <v>1.0</v>
      </c>
      <c r="Y2" s="12">
        <v>1.0</v>
      </c>
      <c r="Z2" s="12">
        <v>1.0</v>
      </c>
      <c r="AA2" s="12">
        <v>1.0</v>
      </c>
      <c r="AB2" s="12">
        <v>0.0</v>
      </c>
      <c r="AC2" s="12">
        <v>0.0</v>
      </c>
      <c r="AD2" s="12">
        <v>0.0</v>
      </c>
      <c r="AE2" s="12">
        <v>0.0</v>
      </c>
      <c r="AF2" s="12">
        <v>0.0</v>
      </c>
      <c r="AG2" s="12">
        <v>0.0</v>
      </c>
      <c r="AH2" s="12">
        <v>1.0</v>
      </c>
      <c r="AI2" s="12">
        <v>1.0</v>
      </c>
    </row>
    <row r="3">
      <c r="A3" s="7" t="s">
        <v>60</v>
      </c>
      <c r="B3" s="1" t="s">
        <v>7</v>
      </c>
      <c r="C3" s="1" t="s">
        <v>8</v>
      </c>
      <c r="D3" s="13">
        <v>312.0</v>
      </c>
      <c r="E3" s="13">
        <v>23.0</v>
      </c>
      <c r="F3" s="14">
        <v>2.5555555555555554</v>
      </c>
      <c r="G3" s="14">
        <v>2.5555555555555554</v>
      </c>
      <c r="H3" s="15">
        <f t="shared" si="1"/>
        <v>8.608695652</v>
      </c>
      <c r="I3" s="15">
        <v>9.0</v>
      </c>
      <c r="J3" s="16">
        <v>22.0</v>
      </c>
      <c r="K3" s="17">
        <v>1.617143304587809E7</v>
      </c>
      <c r="L3" s="17">
        <f t="shared" si="2"/>
        <v>81115.25924</v>
      </c>
      <c r="M3" s="18">
        <v>199.36363636363637</v>
      </c>
      <c r="N3" s="7" t="s">
        <v>131</v>
      </c>
      <c r="O3" s="19">
        <v>22.976431816005903</v>
      </c>
      <c r="P3" s="19">
        <v>-109.79806091391629</v>
      </c>
      <c r="Q3" s="20">
        <v>45658.0</v>
      </c>
      <c r="R3" s="21">
        <v>45931.0</v>
      </c>
      <c r="S3" s="12">
        <v>1.0</v>
      </c>
      <c r="T3" s="12">
        <v>1.0</v>
      </c>
      <c r="U3" s="12">
        <v>1.0</v>
      </c>
      <c r="V3" s="12">
        <v>1.0</v>
      </c>
      <c r="W3" s="12">
        <v>0.0</v>
      </c>
      <c r="X3" s="12">
        <v>0.0</v>
      </c>
      <c r="Y3" s="12">
        <v>1.0</v>
      </c>
      <c r="Z3" s="12">
        <v>0.0</v>
      </c>
      <c r="AA3" s="12">
        <v>1.0</v>
      </c>
      <c r="AB3" s="12">
        <v>1.0</v>
      </c>
      <c r="AC3" s="12">
        <v>0.0</v>
      </c>
      <c r="AD3" s="12">
        <v>1.0</v>
      </c>
      <c r="AE3" s="12">
        <v>0.0</v>
      </c>
      <c r="AF3" s="12">
        <v>0.0</v>
      </c>
      <c r="AG3" s="12">
        <v>0.0</v>
      </c>
      <c r="AH3" s="12">
        <v>0.0</v>
      </c>
      <c r="AI3" s="12">
        <v>1.0</v>
      </c>
    </row>
    <row r="4">
      <c r="A4" s="7" t="s">
        <v>55</v>
      </c>
      <c r="B4" s="1" t="s">
        <v>10</v>
      </c>
      <c r="C4" s="1" t="s">
        <v>11</v>
      </c>
      <c r="D4" s="13">
        <v>412.0</v>
      </c>
      <c r="E4" s="13">
        <v>42.0</v>
      </c>
      <c r="F4" s="14">
        <v>2.4285714285714284</v>
      </c>
      <c r="G4" s="14">
        <v>2.4285714285714284</v>
      </c>
      <c r="H4" s="15">
        <f t="shared" si="1"/>
        <v>9.470588235</v>
      </c>
      <c r="I4" s="15">
        <v>7.0</v>
      </c>
      <c r="J4" s="16">
        <v>23.0</v>
      </c>
      <c r="K4" s="17">
        <v>8811007.6173913</v>
      </c>
      <c r="L4" s="17">
        <f t="shared" si="2"/>
        <v>84273.08593</v>
      </c>
      <c r="M4" s="18">
        <v>104.55304347826086</v>
      </c>
      <c r="N4" s="7" t="s">
        <v>131</v>
      </c>
      <c r="O4" s="19">
        <v>22.998302617433595</v>
      </c>
      <c r="P4" s="19">
        <v>-109.73565729278039</v>
      </c>
      <c r="Q4" s="20">
        <v>45717.0</v>
      </c>
      <c r="R4" s="21">
        <v>45931.0</v>
      </c>
      <c r="S4" s="12">
        <v>1.0</v>
      </c>
      <c r="T4" s="12">
        <v>1.0</v>
      </c>
      <c r="U4" s="12">
        <v>0.0</v>
      </c>
      <c r="V4" s="12">
        <v>0.0</v>
      </c>
      <c r="W4" s="12">
        <v>0.0</v>
      </c>
      <c r="X4" s="12">
        <v>1.0</v>
      </c>
      <c r="Y4" s="12">
        <v>1.0</v>
      </c>
      <c r="Z4" s="12">
        <v>1.0</v>
      </c>
      <c r="AA4" s="12">
        <v>0.0</v>
      </c>
      <c r="AB4" s="12">
        <v>0.0</v>
      </c>
      <c r="AC4" s="12">
        <v>0.0</v>
      </c>
      <c r="AD4" s="12">
        <v>0.0</v>
      </c>
      <c r="AE4" s="12">
        <v>0.0</v>
      </c>
      <c r="AF4" s="12">
        <v>0.0</v>
      </c>
      <c r="AG4" s="12">
        <v>0.0</v>
      </c>
      <c r="AH4" s="12">
        <v>0.0</v>
      </c>
      <c r="AI4" s="12">
        <v>0.0</v>
      </c>
    </row>
    <row r="5">
      <c r="A5" s="7" t="s">
        <v>12</v>
      </c>
      <c r="B5" s="1" t="s">
        <v>13</v>
      </c>
      <c r="C5" s="1" t="s">
        <v>14</v>
      </c>
      <c r="D5" s="13">
        <v>512.0</v>
      </c>
      <c r="E5" s="13">
        <v>23.0</v>
      </c>
      <c r="F5" s="14">
        <v>1.6666666666666667</v>
      </c>
      <c r="G5" s="14">
        <v>1.6666666666666667</v>
      </c>
      <c r="H5" s="15">
        <f t="shared" si="1"/>
        <v>15.6</v>
      </c>
      <c r="I5" s="15">
        <v>46.0</v>
      </c>
      <c r="J5" s="16">
        <v>26.0</v>
      </c>
      <c r="K5" s="17">
        <v>1.6223427E7</v>
      </c>
      <c r="L5" s="17">
        <f t="shared" si="2"/>
        <v>77313.31967</v>
      </c>
      <c r="M5" s="18">
        <v>209.84</v>
      </c>
      <c r="N5" s="7" t="s">
        <v>132</v>
      </c>
      <c r="O5" s="19">
        <v>23.050118483876155</v>
      </c>
      <c r="P5" s="19">
        <v>-109.70083711647692</v>
      </c>
      <c r="Q5" s="20">
        <v>45078.0</v>
      </c>
      <c r="R5" s="21">
        <v>45931.0</v>
      </c>
      <c r="S5" s="12">
        <v>1.0</v>
      </c>
      <c r="T5" s="12">
        <v>0.0</v>
      </c>
      <c r="U5" s="12">
        <v>1.0</v>
      </c>
      <c r="V5" s="12">
        <v>1.0</v>
      </c>
      <c r="W5" s="12">
        <v>0.0</v>
      </c>
      <c r="X5" s="12">
        <v>0.0</v>
      </c>
      <c r="Y5" s="12">
        <v>1.0</v>
      </c>
      <c r="Z5" s="12">
        <v>1.0</v>
      </c>
      <c r="AA5" s="12">
        <v>0.0</v>
      </c>
      <c r="AB5" s="12">
        <v>0.0</v>
      </c>
      <c r="AC5" s="12">
        <v>0.0</v>
      </c>
      <c r="AD5" s="12">
        <v>0.0</v>
      </c>
      <c r="AE5" s="12">
        <v>0.0</v>
      </c>
      <c r="AF5" s="12">
        <v>0.0</v>
      </c>
      <c r="AG5" s="12">
        <v>0.0</v>
      </c>
      <c r="AH5" s="12">
        <v>0.0</v>
      </c>
      <c r="AI5" s="12">
        <v>1.0</v>
      </c>
    </row>
    <row r="6">
      <c r="A6" s="7" t="s">
        <v>44</v>
      </c>
      <c r="B6" s="1" t="s">
        <v>16</v>
      </c>
      <c r="C6" s="1" t="s">
        <v>17</v>
      </c>
      <c r="D6" s="13">
        <v>23.0</v>
      </c>
      <c r="E6" s="13">
        <v>32.0</v>
      </c>
      <c r="F6" s="14">
        <v>1.1111111111111112</v>
      </c>
      <c r="G6" s="14">
        <v>1.1111111111111112</v>
      </c>
      <c r="H6" s="15">
        <f t="shared" si="1"/>
        <v>5.4</v>
      </c>
      <c r="I6" s="15">
        <v>9.0</v>
      </c>
      <c r="J6" s="16">
        <v>6.0</v>
      </c>
      <c r="K6" s="17">
        <v>1.27765964E7</v>
      </c>
      <c r="L6" s="17">
        <f t="shared" si="2"/>
        <v>101039.3673</v>
      </c>
      <c r="M6" s="18">
        <v>126.45166666666667</v>
      </c>
      <c r="N6" s="7" t="s">
        <v>131</v>
      </c>
      <c r="O6" s="19">
        <v>23.04070169565988</v>
      </c>
      <c r="P6" s="19">
        <v>-109.70371571656761</v>
      </c>
      <c r="Q6" s="20">
        <v>45658.0</v>
      </c>
      <c r="R6" s="21">
        <v>45931.0</v>
      </c>
      <c r="S6" s="12">
        <v>1.0</v>
      </c>
      <c r="T6" s="12">
        <v>1.0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12">
        <v>0.0</v>
      </c>
      <c r="AA6" s="12">
        <v>0.0</v>
      </c>
      <c r="AB6" s="12">
        <v>0.0</v>
      </c>
      <c r="AC6" s="12">
        <v>0.0</v>
      </c>
      <c r="AD6" s="12">
        <v>0.0</v>
      </c>
      <c r="AE6" s="12">
        <v>0.0</v>
      </c>
      <c r="AF6" s="12">
        <v>0.0</v>
      </c>
      <c r="AG6" s="12">
        <v>0.0</v>
      </c>
      <c r="AH6" s="12">
        <v>0.0</v>
      </c>
      <c r="AI6" s="12">
        <v>0.0</v>
      </c>
    </row>
    <row r="7">
      <c r="A7" s="7" t="s">
        <v>30</v>
      </c>
      <c r="B7" s="1" t="s">
        <v>16</v>
      </c>
      <c r="C7" s="1" t="s">
        <v>19</v>
      </c>
      <c r="D7" s="13">
        <v>231.0</v>
      </c>
      <c r="E7" s="13">
        <v>21.0</v>
      </c>
      <c r="F7" s="14">
        <v>1.0</v>
      </c>
      <c r="G7" s="14">
        <v>1.0</v>
      </c>
      <c r="H7" s="15">
        <f t="shared" si="1"/>
        <v>75</v>
      </c>
      <c r="I7" s="15">
        <v>10.0</v>
      </c>
      <c r="J7" s="16">
        <v>75.0</v>
      </c>
      <c r="K7" s="17">
        <v>7237248.376000026</v>
      </c>
      <c r="L7" s="17">
        <f t="shared" si="2"/>
        <v>68479.29867</v>
      </c>
      <c r="M7" s="18">
        <v>105.68520000000004</v>
      </c>
      <c r="N7" s="7" t="s">
        <v>131</v>
      </c>
      <c r="O7" s="19">
        <v>23.056819572706384</v>
      </c>
      <c r="P7" s="19">
        <v>-109.71088625938329</v>
      </c>
      <c r="Q7" s="20">
        <v>45627.0</v>
      </c>
      <c r="R7" s="21">
        <v>45931.0</v>
      </c>
      <c r="S7" s="12">
        <v>1.0</v>
      </c>
      <c r="T7" s="12">
        <v>1.0</v>
      </c>
      <c r="U7" s="12">
        <v>0.0</v>
      </c>
      <c r="V7" s="12">
        <v>0.0</v>
      </c>
      <c r="W7" s="12">
        <v>0.0</v>
      </c>
      <c r="X7" s="12">
        <v>0.0</v>
      </c>
      <c r="Y7" s="12">
        <v>1.0</v>
      </c>
      <c r="Z7" s="12">
        <v>1.0</v>
      </c>
      <c r="AA7" s="12">
        <v>1.0</v>
      </c>
      <c r="AB7" s="12">
        <v>0.0</v>
      </c>
      <c r="AC7" s="12">
        <v>0.0</v>
      </c>
      <c r="AD7" s="12">
        <v>0.0</v>
      </c>
      <c r="AE7" s="12">
        <v>0.0</v>
      </c>
      <c r="AF7" s="12">
        <v>1.0</v>
      </c>
      <c r="AG7" s="12">
        <v>0.0</v>
      </c>
      <c r="AH7" s="12">
        <v>0.0</v>
      </c>
      <c r="AI7" s="12">
        <v>0.0</v>
      </c>
    </row>
    <row r="8">
      <c r="A8" s="7" t="s">
        <v>3</v>
      </c>
      <c r="B8" s="1" t="s">
        <v>21</v>
      </c>
      <c r="C8" s="1" t="s">
        <v>20</v>
      </c>
      <c r="D8" s="13">
        <v>32.0</v>
      </c>
      <c r="E8" s="13">
        <v>12.0</v>
      </c>
      <c r="F8" s="14">
        <v>0.7777777777777778</v>
      </c>
      <c r="G8" s="14">
        <v>0.7777777777777778</v>
      </c>
      <c r="H8" s="15">
        <f t="shared" si="1"/>
        <v>51.42857143</v>
      </c>
      <c r="I8" s="15">
        <v>9.0</v>
      </c>
      <c r="J8" s="16">
        <v>40.0</v>
      </c>
      <c r="K8" s="17">
        <v>6692240.0025</v>
      </c>
      <c r="L8" s="17">
        <f t="shared" si="2"/>
        <v>65569.21534</v>
      </c>
      <c r="M8" s="18">
        <v>102.06374999999996</v>
      </c>
      <c r="N8" s="7" t="s">
        <v>131</v>
      </c>
      <c r="O8" s="19">
        <v>23.00304136015735</v>
      </c>
      <c r="P8" s="19">
        <v>-109.73724151607496</v>
      </c>
      <c r="Q8" s="20">
        <v>45658.0</v>
      </c>
      <c r="R8" s="21">
        <v>45931.0</v>
      </c>
      <c r="S8" s="12">
        <v>1.0</v>
      </c>
      <c r="T8" s="12">
        <v>1.0</v>
      </c>
      <c r="U8" s="12">
        <v>0.0</v>
      </c>
      <c r="V8" s="12">
        <v>1.0</v>
      </c>
      <c r="W8" s="12">
        <v>0.0</v>
      </c>
      <c r="X8" s="12">
        <v>0.0</v>
      </c>
      <c r="Y8" s="12">
        <v>1.0</v>
      </c>
      <c r="Z8" s="12">
        <v>0.0</v>
      </c>
      <c r="AA8" s="12">
        <v>1.0</v>
      </c>
      <c r="AB8" s="12">
        <v>1.0</v>
      </c>
      <c r="AC8" s="12">
        <v>1.0</v>
      </c>
      <c r="AD8" s="12">
        <v>0.0</v>
      </c>
      <c r="AE8" s="12">
        <v>0.0</v>
      </c>
      <c r="AF8" s="12">
        <v>0.0</v>
      </c>
      <c r="AG8" s="12">
        <v>0.0</v>
      </c>
      <c r="AH8" s="12">
        <v>0.0</v>
      </c>
      <c r="AI8" s="12">
        <v>0.0</v>
      </c>
    </row>
    <row r="9">
      <c r="A9" s="7" t="s">
        <v>35</v>
      </c>
      <c r="B9" s="1" t="s">
        <v>21</v>
      </c>
      <c r="C9" s="1" t="s">
        <v>23</v>
      </c>
      <c r="D9" s="13">
        <v>12.0</v>
      </c>
      <c r="E9" s="13">
        <v>32.0</v>
      </c>
      <c r="F9" s="14">
        <v>0.7777777777777778</v>
      </c>
      <c r="G9" s="14">
        <v>0.7777777777777778</v>
      </c>
      <c r="H9" s="15">
        <f t="shared" si="1"/>
        <v>6.428571429</v>
      </c>
      <c r="I9" s="15">
        <v>21.0</v>
      </c>
      <c r="J9" s="16">
        <v>5.0</v>
      </c>
      <c r="K9" s="17">
        <v>9545280.0</v>
      </c>
      <c r="L9" s="17">
        <f t="shared" si="2"/>
        <v>88303.73002</v>
      </c>
      <c r="M9" s="18">
        <v>108.096</v>
      </c>
      <c r="N9" s="7" t="s">
        <v>131</v>
      </c>
      <c r="O9" s="19">
        <v>23.061122479913763</v>
      </c>
      <c r="P9" s="19">
        <v>-109.69587779315553</v>
      </c>
      <c r="Q9" s="20">
        <v>45292.0</v>
      </c>
      <c r="R9" s="21">
        <v>45931.0</v>
      </c>
      <c r="S9" s="12">
        <v>1.0</v>
      </c>
      <c r="T9" s="12">
        <v>1.0</v>
      </c>
      <c r="U9" s="12">
        <v>1.0</v>
      </c>
      <c r="V9" s="12">
        <v>0.0</v>
      </c>
      <c r="W9" s="12">
        <v>0.0</v>
      </c>
      <c r="X9" s="12">
        <v>1.0</v>
      </c>
      <c r="Y9" s="12">
        <v>1.0</v>
      </c>
      <c r="Z9" s="12">
        <v>0.0</v>
      </c>
      <c r="AA9" s="12">
        <v>0.0</v>
      </c>
      <c r="AB9" s="12">
        <v>0.0</v>
      </c>
      <c r="AC9" s="12">
        <v>0.0</v>
      </c>
      <c r="AD9" s="12">
        <v>0.0</v>
      </c>
      <c r="AE9" s="12">
        <v>0.0</v>
      </c>
      <c r="AF9" s="12">
        <v>1.0</v>
      </c>
      <c r="AG9" s="12">
        <v>0.0</v>
      </c>
      <c r="AH9" s="12">
        <v>0.0</v>
      </c>
      <c r="AI9" s="12">
        <v>0.0</v>
      </c>
    </row>
    <row r="10">
      <c r="A10" s="7" t="s">
        <v>39</v>
      </c>
      <c r="B10" s="1" t="s">
        <v>25</v>
      </c>
      <c r="C10" s="1" t="s">
        <v>26</v>
      </c>
      <c r="D10" s="13">
        <v>43.0</v>
      </c>
      <c r="E10" s="13">
        <v>21.0</v>
      </c>
      <c r="F10" s="14">
        <v>0.7777777777777778</v>
      </c>
      <c r="G10" s="14">
        <v>0.7777777777777778</v>
      </c>
      <c r="H10" s="15">
        <f t="shared" si="1"/>
        <v>18</v>
      </c>
      <c r="I10" s="15">
        <v>24.0</v>
      </c>
      <c r="J10" s="16">
        <v>14.0</v>
      </c>
      <c r="K10" s="17">
        <v>1.2282290742857E7</v>
      </c>
      <c r="L10" s="17">
        <f t="shared" si="2"/>
        <v>56759.03707</v>
      </c>
      <c r="M10" s="18">
        <v>216.39357142857148</v>
      </c>
      <c r="N10" s="7" t="s">
        <v>131</v>
      </c>
      <c r="O10" s="19">
        <v>23.044740281580427</v>
      </c>
      <c r="P10" s="19">
        <v>-109.69988396335627</v>
      </c>
      <c r="Q10" s="20">
        <v>45200.0</v>
      </c>
      <c r="R10" s="21">
        <v>45931.0</v>
      </c>
      <c r="S10" s="12">
        <v>1.0</v>
      </c>
      <c r="T10" s="12">
        <v>0.0</v>
      </c>
      <c r="U10" s="12">
        <v>0.0</v>
      </c>
      <c r="V10" s="12">
        <v>1.0</v>
      </c>
      <c r="W10" s="12">
        <v>0.0</v>
      </c>
      <c r="X10" s="12">
        <v>1.0</v>
      </c>
      <c r="Y10" s="12">
        <v>1.0</v>
      </c>
      <c r="Z10" s="12">
        <v>0.0</v>
      </c>
      <c r="AA10" s="12">
        <v>0.0</v>
      </c>
      <c r="AB10" s="12">
        <v>0.0</v>
      </c>
      <c r="AC10" s="12">
        <v>0.0</v>
      </c>
      <c r="AD10" s="12">
        <v>0.0</v>
      </c>
      <c r="AE10" s="12">
        <v>0.0</v>
      </c>
      <c r="AF10" s="12">
        <v>0.0</v>
      </c>
      <c r="AG10" s="12">
        <v>0.0</v>
      </c>
      <c r="AH10" s="12">
        <v>0.0</v>
      </c>
      <c r="AI10" s="12">
        <v>0.0</v>
      </c>
    </row>
    <row r="11">
      <c r="A11" s="7" t="s">
        <v>41</v>
      </c>
      <c r="B11" s="1" t="s">
        <v>25</v>
      </c>
      <c r="C11" s="1" t="s">
        <v>28</v>
      </c>
      <c r="D11" s="13">
        <v>64.0</v>
      </c>
      <c r="E11" s="13">
        <v>12.0</v>
      </c>
      <c r="F11" s="14">
        <v>0.6666666666666666</v>
      </c>
      <c r="G11" s="14">
        <v>0.6666666666666666</v>
      </c>
      <c r="H11" s="15">
        <f t="shared" si="1"/>
        <v>36</v>
      </c>
      <c r="I11" s="15">
        <v>6.0</v>
      </c>
      <c r="J11" s="16">
        <v>24.0</v>
      </c>
      <c r="K11" s="17">
        <v>2.7296864583333E7</v>
      </c>
      <c r="L11" s="17">
        <f t="shared" si="2"/>
        <v>107928.2949</v>
      </c>
      <c r="M11" s="18">
        <v>252.91666666666666</v>
      </c>
      <c r="N11" s="7" t="s">
        <v>131</v>
      </c>
      <c r="O11" s="19">
        <v>23.0273233</v>
      </c>
      <c r="P11" s="19">
        <v>-109.7179064</v>
      </c>
      <c r="Q11" s="20">
        <v>45748.0</v>
      </c>
      <c r="R11" s="21">
        <v>45931.0</v>
      </c>
      <c r="S11" s="12">
        <v>1.0</v>
      </c>
      <c r="T11" s="12">
        <v>1.0</v>
      </c>
      <c r="U11" s="12">
        <v>0.0</v>
      </c>
      <c r="V11" s="12">
        <v>0.0</v>
      </c>
      <c r="W11" s="12">
        <v>0.0</v>
      </c>
      <c r="X11" s="12">
        <v>0.0</v>
      </c>
      <c r="Y11" s="12">
        <v>1.0</v>
      </c>
      <c r="Z11" s="12">
        <v>1.0</v>
      </c>
      <c r="AA11" s="12">
        <v>0.0</v>
      </c>
      <c r="AB11" s="12">
        <v>0.0</v>
      </c>
      <c r="AC11" s="12">
        <v>0.0</v>
      </c>
      <c r="AD11" s="12">
        <v>1.0</v>
      </c>
      <c r="AE11" s="12">
        <v>0.0</v>
      </c>
      <c r="AF11" s="12">
        <v>1.0</v>
      </c>
      <c r="AG11" s="12">
        <v>0.0</v>
      </c>
      <c r="AH11" s="12">
        <v>0.0</v>
      </c>
      <c r="AI11" s="12">
        <v>1.0</v>
      </c>
    </row>
    <row r="12">
      <c r="A12" s="7" t="s">
        <v>68</v>
      </c>
      <c r="B12" s="1" t="s">
        <v>25</v>
      </c>
      <c r="C12" s="1" t="s">
        <v>29</v>
      </c>
      <c r="D12" s="13">
        <v>32.0</v>
      </c>
      <c r="E12" s="13">
        <v>23.0</v>
      </c>
      <c r="F12" s="14">
        <v>0.5555555555555556</v>
      </c>
      <c r="G12" s="14">
        <v>0.5555555555555556</v>
      </c>
      <c r="H12" s="15">
        <f t="shared" si="1"/>
        <v>14.4</v>
      </c>
      <c r="I12" s="15">
        <v>41.0</v>
      </c>
      <c r="J12" s="16">
        <v>8.0</v>
      </c>
      <c r="K12" s="17">
        <v>2.000761875E7</v>
      </c>
      <c r="L12" s="17">
        <f t="shared" si="2"/>
        <v>101299.2697</v>
      </c>
      <c r="M12" s="18">
        <v>197.51</v>
      </c>
      <c r="N12" s="7" t="s">
        <v>132</v>
      </c>
      <c r="O12" s="19">
        <v>23.04398540664675</v>
      </c>
      <c r="P12" s="19">
        <v>-109.71001948769639</v>
      </c>
      <c r="Q12" s="20">
        <v>44682.0</v>
      </c>
      <c r="R12" s="21">
        <v>45931.0</v>
      </c>
      <c r="S12" s="12">
        <v>1.0</v>
      </c>
      <c r="T12" s="12">
        <v>1.0</v>
      </c>
      <c r="U12" s="12">
        <v>1.0</v>
      </c>
      <c r="V12" s="12">
        <v>0.0</v>
      </c>
      <c r="W12" s="12">
        <v>0.0</v>
      </c>
      <c r="X12" s="12">
        <v>0.0</v>
      </c>
      <c r="Y12" s="12">
        <v>1.0</v>
      </c>
      <c r="Z12" s="12">
        <v>1.0</v>
      </c>
      <c r="AA12" s="12">
        <v>0.0</v>
      </c>
      <c r="AB12" s="12">
        <v>1.0</v>
      </c>
      <c r="AC12" s="12">
        <v>0.0</v>
      </c>
      <c r="AD12" s="12">
        <v>0.0</v>
      </c>
      <c r="AE12" s="12">
        <v>0.0</v>
      </c>
      <c r="AF12" s="12">
        <v>1.0</v>
      </c>
      <c r="AG12" s="12">
        <v>0.0</v>
      </c>
      <c r="AH12" s="12">
        <v>1.0</v>
      </c>
      <c r="AI12" s="12">
        <v>0.0</v>
      </c>
    </row>
    <row r="13">
      <c r="A13" s="7" t="s">
        <v>9</v>
      </c>
      <c r="B13" s="1" t="s">
        <v>25</v>
      </c>
      <c r="C13" s="1" t="s">
        <v>31</v>
      </c>
      <c r="D13" s="13">
        <v>423.0</v>
      </c>
      <c r="E13" s="13">
        <v>12.0</v>
      </c>
      <c r="F13" s="14">
        <v>0.4444444444444444</v>
      </c>
      <c r="G13" s="14">
        <v>0.4444444444444444</v>
      </c>
      <c r="H13" s="15">
        <f t="shared" si="1"/>
        <v>83.25</v>
      </c>
      <c r="I13" s="15">
        <v>38.0</v>
      </c>
      <c r="J13" s="16">
        <v>37.0</v>
      </c>
      <c r="K13" s="17">
        <v>1.0149575675676E7</v>
      </c>
      <c r="L13" s="17">
        <f t="shared" si="2"/>
        <v>78067.81613</v>
      </c>
      <c r="M13" s="18">
        <v>130.00972972972968</v>
      </c>
      <c r="N13" s="7" t="s">
        <v>132</v>
      </c>
      <c r="O13" s="19">
        <v>23.047912124439534</v>
      </c>
      <c r="P13" s="19">
        <v>-109.70310859449481</v>
      </c>
      <c r="Q13" s="20">
        <v>44774.0</v>
      </c>
      <c r="R13" s="21">
        <v>45931.0</v>
      </c>
      <c r="S13" s="12">
        <v>1.0</v>
      </c>
      <c r="T13" s="12">
        <v>1.0</v>
      </c>
      <c r="U13" s="12">
        <v>1.0</v>
      </c>
      <c r="V13" s="12">
        <v>1.0</v>
      </c>
      <c r="W13" s="12">
        <v>0.0</v>
      </c>
      <c r="X13" s="12">
        <v>0.0</v>
      </c>
      <c r="Y13" s="12">
        <v>1.0</v>
      </c>
      <c r="Z13" s="12">
        <v>1.0</v>
      </c>
      <c r="AA13" s="12">
        <v>1.0</v>
      </c>
      <c r="AB13" s="12">
        <v>1.0</v>
      </c>
      <c r="AC13" s="12">
        <v>0.0</v>
      </c>
      <c r="AD13" s="12">
        <v>0.0</v>
      </c>
      <c r="AE13" s="12">
        <v>1.0</v>
      </c>
      <c r="AF13" s="12">
        <v>0.0</v>
      </c>
      <c r="AG13" s="12">
        <v>0.0</v>
      </c>
      <c r="AH13" s="12">
        <v>0.0</v>
      </c>
      <c r="AI13" s="12">
        <v>0.0</v>
      </c>
    </row>
    <row r="14">
      <c r="A14" s="7" t="s">
        <v>52</v>
      </c>
      <c r="B14" s="1" t="s">
        <v>33</v>
      </c>
      <c r="C14" s="1" t="s">
        <v>34</v>
      </c>
      <c r="D14" s="13">
        <v>12.0</v>
      </c>
      <c r="E14" s="13">
        <v>32.0</v>
      </c>
      <c r="F14" s="14">
        <v>0.4444444444444444</v>
      </c>
      <c r="G14" s="14">
        <v>0.4444444444444444</v>
      </c>
      <c r="H14" s="15">
        <f t="shared" si="1"/>
        <v>4.5</v>
      </c>
      <c r="I14" s="15">
        <v>58.0</v>
      </c>
      <c r="J14" s="16">
        <v>2.0</v>
      </c>
      <c r="K14" s="17">
        <v>1.21146E7</v>
      </c>
      <c r="L14" s="17">
        <f t="shared" si="2"/>
        <v>100883.5408</v>
      </c>
      <c r="M14" s="18">
        <v>120.08500000000001</v>
      </c>
      <c r="N14" s="7" t="s">
        <v>133</v>
      </c>
      <c r="O14" s="19">
        <v>23.04111991384007</v>
      </c>
      <c r="P14" s="19">
        <v>-109.7060265345587</v>
      </c>
      <c r="Q14" s="20">
        <v>44166.0</v>
      </c>
      <c r="R14" s="21">
        <v>45931.0</v>
      </c>
      <c r="S14" s="12">
        <v>1.0</v>
      </c>
      <c r="T14" s="12">
        <v>1.0</v>
      </c>
      <c r="U14" s="12">
        <v>0.0</v>
      </c>
      <c r="V14" s="12">
        <v>1.0</v>
      </c>
      <c r="W14" s="12">
        <v>0.0</v>
      </c>
      <c r="X14" s="12">
        <v>0.0</v>
      </c>
      <c r="Y14" s="12">
        <v>1.0</v>
      </c>
      <c r="Z14" s="12">
        <v>0.0</v>
      </c>
      <c r="AA14" s="12">
        <v>1.0</v>
      </c>
      <c r="AB14" s="12">
        <v>0.0</v>
      </c>
      <c r="AC14" s="12">
        <v>0.0</v>
      </c>
      <c r="AD14" s="12">
        <v>0.0</v>
      </c>
      <c r="AE14" s="12">
        <v>0.0</v>
      </c>
      <c r="AF14" s="12">
        <v>0.0</v>
      </c>
      <c r="AG14" s="12">
        <v>0.0</v>
      </c>
      <c r="AH14" s="12">
        <v>0.0</v>
      </c>
      <c r="AI14" s="12">
        <v>1.0</v>
      </c>
    </row>
    <row r="15">
      <c r="A15" s="7" t="s">
        <v>20</v>
      </c>
      <c r="B15" s="1" t="s">
        <v>25</v>
      </c>
      <c r="C15" s="1" t="s">
        <v>36</v>
      </c>
      <c r="D15" s="13">
        <v>4.0</v>
      </c>
      <c r="E15" s="13">
        <v>12.0</v>
      </c>
      <c r="F15" s="14">
        <v>0.2222222222222222</v>
      </c>
      <c r="G15" s="14">
        <v>0.2222222222222222</v>
      </c>
      <c r="H15" s="15">
        <f t="shared" si="1"/>
        <v>9</v>
      </c>
      <c r="I15" s="15">
        <v>45.0</v>
      </c>
      <c r="J15" s="16">
        <v>2.0</v>
      </c>
      <c r="K15" s="17">
        <v>2.02214817E7</v>
      </c>
      <c r="L15" s="17">
        <f t="shared" si="2"/>
        <v>64574.42663</v>
      </c>
      <c r="M15" s="18">
        <v>313.15</v>
      </c>
      <c r="N15" s="7" t="s">
        <v>132</v>
      </c>
      <c r="O15" s="19">
        <v>23.038350817973146</v>
      </c>
      <c r="P15" s="19">
        <v>-109.72014359789436</v>
      </c>
      <c r="Q15" s="20">
        <v>44562.0</v>
      </c>
      <c r="R15" s="21">
        <v>45931.0</v>
      </c>
      <c r="S15" s="12">
        <v>1.0</v>
      </c>
      <c r="T15" s="12">
        <v>0.0</v>
      </c>
      <c r="U15" s="12">
        <v>0.0</v>
      </c>
      <c r="V15" s="12">
        <v>1.0</v>
      </c>
      <c r="W15" s="12">
        <v>1.0</v>
      </c>
      <c r="X15" s="12">
        <v>0.0</v>
      </c>
      <c r="Y15" s="12">
        <v>1.0</v>
      </c>
      <c r="Z15" s="12">
        <v>0.0</v>
      </c>
      <c r="AA15" s="12">
        <v>1.0</v>
      </c>
      <c r="AB15" s="12">
        <v>0.0</v>
      </c>
      <c r="AC15" s="12">
        <v>0.0</v>
      </c>
      <c r="AD15" s="12">
        <v>0.0</v>
      </c>
      <c r="AE15" s="12">
        <v>1.0</v>
      </c>
      <c r="AF15" s="12">
        <v>0.0</v>
      </c>
      <c r="AG15" s="12">
        <v>0.0</v>
      </c>
      <c r="AH15" s="12">
        <v>1.0</v>
      </c>
      <c r="AI15" s="12">
        <v>0.0</v>
      </c>
    </row>
    <row r="16">
      <c r="A16" s="7" t="s">
        <v>22</v>
      </c>
      <c r="B16" s="1" t="s">
        <v>25</v>
      </c>
      <c r="C16" s="1" t="s">
        <v>38</v>
      </c>
      <c r="D16" s="13">
        <v>6.0</v>
      </c>
      <c r="E16" s="13">
        <v>32.0</v>
      </c>
      <c r="F16" s="14">
        <v>0.2222222222222222</v>
      </c>
      <c r="G16" s="14">
        <v>0.2222222222222222</v>
      </c>
      <c r="H16" s="15">
        <f t="shared" si="1"/>
        <v>63</v>
      </c>
      <c r="I16" s="15">
        <v>16.0</v>
      </c>
      <c r="J16" s="16">
        <v>14.0</v>
      </c>
      <c r="K16" s="17">
        <v>1.0337928814286E7</v>
      </c>
      <c r="L16" s="17">
        <f t="shared" si="2"/>
        <v>74682.91247</v>
      </c>
      <c r="M16" s="18">
        <v>138.42428571428573</v>
      </c>
      <c r="N16" s="7" t="s">
        <v>132</v>
      </c>
      <c r="O16" s="19">
        <v>23.03833756042487</v>
      </c>
      <c r="P16" s="19">
        <v>-109.72010087598309</v>
      </c>
      <c r="Q16" s="20">
        <v>45444.0</v>
      </c>
      <c r="R16" s="21">
        <v>45931.0</v>
      </c>
      <c r="S16" s="12">
        <v>1.0</v>
      </c>
      <c r="T16" s="12">
        <v>1.0</v>
      </c>
      <c r="U16" s="12">
        <v>1.0</v>
      </c>
      <c r="V16" s="12">
        <v>0.0</v>
      </c>
      <c r="W16" s="12">
        <v>1.0</v>
      </c>
      <c r="X16" s="12">
        <v>0.0</v>
      </c>
      <c r="Y16" s="12">
        <v>1.0</v>
      </c>
      <c r="Z16" s="12">
        <v>0.0</v>
      </c>
      <c r="AA16" s="12">
        <v>0.0</v>
      </c>
      <c r="AB16" s="12">
        <v>1.0</v>
      </c>
      <c r="AC16" s="12">
        <v>0.0</v>
      </c>
      <c r="AD16" s="12">
        <v>0.0</v>
      </c>
      <c r="AE16" s="12">
        <v>0.0</v>
      </c>
      <c r="AF16" s="12">
        <v>0.0</v>
      </c>
      <c r="AG16" s="12">
        <v>0.0</v>
      </c>
      <c r="AH16" s="12">
        <v>0.0</v>
      </c>
      <c r="AI16" s="12">
        <v>1.0</v>
      </c>
    </row>
    <row r="17">
      <c r="A17" s="7" t="s">
        <v>46</v>
      </c>
      <c r="B17" s="1" t="s">
        <v>40</v>
      </c>
      <c r="C17" s="1" t="s">
        <v>39</v>
      </c>
      <c r="D17" s="13">
        <v>567.0</v>
      </c>
      <c r="E17" s="13">
        <v>12.0</v>
      </c>
      <c r="F17" s="14">
        <v>0.2222222222222222</v>
      </c>
      <c r="G17" s="14">
        <v>0.2222222222222222</v>
      </c>
      <c r="H17" s="15">
        <f t="shared" si="1"/>
        <v>27</v>
      </c>
      <c r="I17" s="15">
        <v>46.0</v>
      </c>
      <c r="J17" s="16">
        <v>6.0</v>
      </c>
      <c r="K17" s="17">
        <v>9.01275E7</v>
      </c>
      <c r="L17" s="17">
        <f t="shared" si="2"/>
        <v>144899.5177</v>
      </c>
      <c r="M17" s="18">
        <v>622.0</v>
      </c>
      <c r="N17" s="7" t="s">
        <v>131</v>
      </c>
      <c r="O17" s="19">
        <v>23.065672173073025</v>
      </c>
      <c r="P17" s="19">
        <v>-109.66853758491526</v>
      </c>
      <c r="Q17" s="20">
        <v>44531.0</v>
      </c>
      <c r="R17" s="21">
        <v>45931.0</v>
      </c>
      <c r="S17" s="12">
        <v>1.0</v>
      </c>
      <c r="T17" s="12">
        <v>1.0</v>
      </c>
      <c r="U17" s="12">
        <v>1.0</v>
      </c>
      <c r="V17" s="12">
        <v>0.0</v>
      </c>
      <c r="W17" s="12">
        <v>0.0</v>
      </c>
      <c r="X17" s="12">
        <v>0.0</v>
      </c>
      <c r="Y17" s="12">
        <v>1.0</v>
      </c>
      <c r="Z17" s="12">
        <v>0.0</v>
      </c>
      <c r="AA17" s="12">
        <v>0.0</v>
      </c>
      <c r="AB17" s="12">
        <v>0.0</v>
      </c>
      <c r="AC17" s="12">
        <v>0.0</v>
      </c>
      <c r="AD17" s="12">
        <v>0.0</v>
      </c>
      <c r="AE17" s="12">
        <v>0.0</v>
      </c>
      <c r="AF17" s="12">
        <v>0.0</v>
      </c>
      <c r="AG17" s="12">
        <v>0.0</v>
      </c>
      <c r="AH17" s="12">
        <v>1.0</v>
      </c>
      <c r="AI17" s="12">
        <v>0.0</v>
      </c>
    </row>
    <row r="18">
      <c r="A18" s="7" t="s">
        <v>18</v>
      </c>
      <c r="B18" s="1" t="s">
        <v>42</v>
      </c>
      <c r="C18" s="1" t="s">
        <v>43</v>
      </c>
      <c r="D18" s="13">
        <v>45.0</v>
      </c>
      <c r="E18" s="13">
        <v>23.0</v>
      </c>
      <c r="F18" s="14">
        <v>0.1111111111111111</v>
      </c>
      <c r="G18" s="14">
        <v>0.1111111111111111</v>
      </c>
      <c r="H18" s="15">
        <f t="shared" si="1"/>
        <v>81</v>
      </c>
      <c r="I18" s="15">
        <v>36.0</v>
      </c>
      <c r="J18" s="16">
        <v>9.0</v>
      </c>
      <c r="K18" s="17">
        <v>8843373.3333333</v>
      </c>
      <c r="L18" s="17">
        <f t="shared" si="2"/>
        <v>67491.78298</v>
      </c>
      <c r="M18" s="18">
        <v>131.0288888888889</v>
      </c>
      <c r="N18" s="7" t="s">
        <v>132</v>
      </c>
      <c r="O18" s="19">
        <v>23.00138860150159</v>
      </c>
      <c r="P18" s="19">
        <v>-109.73784748783822</v>
      </c>
      <c r="Q18" s="20">
        <v>44835.0</v>
      </c>
      <c r="R18" s="21">
        <v>45931.0</v>
      </c>
      <c r="S18" s="12">
        <v>1.0</v>
      </c>
      <c r="T18" s="12">
        <v>0.0</v>
      </c>
      <c r="U18" s="12">
        <v>0.0</v>
      </c>
      <c r="V18" s="12">
        <v>0.0</v>
      </c>
      <c r="W18" s="12">
        <v>0.0</v>
      </c>
      <c r="X18" s="12">
        <v>0.0</v>
      </c>
      <c r="Y18" s="12">
        <v>1.0</v>
      </c>
      <c r="Z18" s="12">
        <v>0.0</v>
      </c>
      <c r="AA18" s="12">
        <v>0.0</v>
      </c>
      <c r="AB18" s="12">
        <v>0.0</v>
      </c>
      <c r="AC18" s="12">
        <v>0.0</v>
      </c>
      <c r="AD18" s="12">
        <v>0.0</v>
      </c>
      <c r="AE18" s="12">
        <v>0.0</v>
      </c>
      <c r="AF18" s="12">
        <v>0.0</v>
      </c>
      <c r="AG18" s="12">
        <v>0.0</v>
      </c>
      <c r="AH18" s="12">
        <v>0.0</v>
      </c>
      <c r="AI18" s="12">
        <v>1.0</v>
      </c>
    </row>
    <row r="19">
      <c r="A19" s="7" t="s">
        <v>32</v>
      </c>
      <c r="B19" s="1" t="s">
        <v>13</v>
      </c>
      <c r="C19" s="1" t="s">
        <v>45</v>
      </c>
      <c r="D19" s="13">
        <v>34.0</v>
      </c>
      <c r="E19" s="13">
        <v>12.0</v>
      </c>
      <c r="F19" s="14">
        <v>0.1111111111111111</v>
      </c>
      <c r="G19" s="14">
        <v>0.1111111111111111</v>
      </c>
      <c r="H19" s="15">
        <f t="shared" si="1"/>
        <v>45</v>
      </c>
      <c r="I19" s="15">
        <v>20.0</v>
      </c>
      <c r="J19" s="16">
        <v>5.0</v>
      </c>
      <c r="K19" s="17">
        <v>4.58232E7</v>
      </c>
      <c r="L19" s="17">
        <f t="shared" si="2"/>
        <v>142308.0745</v>
      </c>
      <c r="M19" s="18">
        <v>322.0</v>
      </c>
      <c r="N19" s="7" t="s">
        <v>132</v>
      </c>
      <c r="O19" s="19">
        <v>23.020471217095455</v>
      </c>
      <c r="P19" s="19">
        <v>-109.72930328794075</v>
      </c>
      <c r="Q19" s="20">
        <v>45323.0</v>
      </c>
      <c r="R19" s="21">
        <v>45931.0</v>
      </c>
      <c r="S19" s="12">
        <v>1.0</v>
      </c>
      <c r="T19" s="12">
        <v>0.0</v>
      </c>
      <c r="U19" s="12">
        <v>0.0</v>
      </c>
      <c r="V19" s="12">
        <v>1.0</v>
      </c>
      <c r="W19" s="12">
        <v>1.0</v>
      </c>
      <c r="X19" s="12">
        <v>0.0</v>
      </c>
      <c r="Y19" s="12">
        <v>1.0</v>
      </c>
      <c r="Z19" s="12">
        <v>0.0</v>
      </c>
      <c r="AA19" s="12">
        <v>0.0</v>
      </c>
      <c r="AB19" s="12">
        <v>0.0</v>
      </c>
      <c r="AC19" s="12">
        <v>0.0</v>
      </c>
      <c r="AD19" s="12">
        <v>0.0</v>
      </c>
      <c r="AE19" s="12">
        <v>0.0</v>
      </c>
      <c r="AF19" s="12">
        <v>0.0</v>
      </c>
      <c r="AG19" s="12">
        <v>0.0</v>
      </c>
      <c r="AH19" s="12">
        <v>0.0</v>
      </c>
      <c r="AI19" s="12">
        <v>1.0</v>
      </c>
    </row>
    <row r="20">
      <c r="A20" s="7" t="s">
        <v>37</v>
      </c>
      <c r="B20" s="1" t="s">
        <v>25</v>
      </c>
      <c r="C20" s="1" t="s">
        <v>47</v>
      </c>
      <c r="D20" s="13">
        <v>233.0</v>
      </c>
      <c r="E20" s="13">
        <v>32.0</v>
      </c>
      <c r="F20" s="14">
        <v>0.1111111111111111</v>
      </c>
      <c r="G20" s="14">
        <v>0.1111111111111111</v>
      </c>
      <c r="H20" s="15">
        <f t="shared" si="1"/>
        <v>207</v>
      </c>
      <c r="I20" s="15">
        <v>17.0</v>
      </c>
      <c r="J20" s="16">
        <v>23.0</v>
      </c>
      <c r="K20" s="17">
        <v>3.1062260869565E7</v>
      </c>
      <c r="L20" s="17">
        <f t="shared" si="2"/>
        <v>112888.174</v>
      </c>
      <c r="M20" s="18">
        <v>275.15956521739133</v>
      </c>
      <c r="N20" s="7" t="s">
        <v>131</v>
      </c>
      <c r="O20" s="19">
        <v>23.039312648429384</v>
      </c>
      <c r="P20" s="19">
        <v>-109.71646260469136</v>
      </c>
      <c r="Q20" s="20">
        <v>45413.0</v>
      </c>
      <c r="R20" s="21">
        <v>45931.0</v>
      </c>
      <c r="S20" s="12">
        <v>1.0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2">
        <v>0.0</v>
      </c>
      <c r="AA20" s="12">
        <v>0.0</v>
      </c>
      <c r="AB20" s="12">
        <v>0.0</v>
      </c>
      <c r="AC20" s="12">
        <v>0.0</v>
      </c>
      <c r="AD20" s="12">
        <v>0.0</v>
      </c>
      <c r="AE20" s="12">
        <v>0.0</v>
      </c>
      <c r="AF20" s="12">
        <v>0.0</v>
      </c>
      <c r="AG20" s="12">
        <v>0.0</v>
      </c>
      <c r="AH20" s="12">
        <v>0.0</v>
      </c>
      <c r="AI20" s="12">
        <v>0.0</v>
      </c>
    </row>
    <row r="21">
      <c r="A21" s="7" t="s">
        <v>48</v>
      </c>
      <c r="B21" s="1" t="s">
        <v>13</v>
      </c>
      <c r="C21" s="1" t="s">
        <v>49</v>
      </c>
      <c r="D21" s="13">
        <v>23.0</v>
      </c>
      <c r="E21" s="13">
        <v>12.0</v>
      </c>
      <c r="F21" s="14">
        <v>0.1111111111111111</v>
      </c>
      <c r="G21" s="14">
        <v>0.1111111111111111</v>
      </c>
      <c r="H21" s="15">
        <f t="shared" si="1"/>
        <v>351</v>
      </c>
      <c r="I21" s="15">
        <v>28.0</v>
      </c>
      <c r="J21" s="16">
        <v>39.0</v>
      </c>
      <c r="K21" s="17">
        <v>1.2235381407692E7</v>
      </c>
      <c r="L21" s="17">
        <f t="shared" si="2"/>
        <v>85715.80293</v>
      </c>
      <c r="M21" s="18">
        <v>142.74358974358975</v>
      </c>
      <c r="N21" s="7" t="s">
        <v>131</v>
      </c>
      <c r="O21" s="19">
        <v>23.065444038333702</v>
      </c>
      <c r="P21" s="19">
        <v>-109.66994363098806</v>
      </c>
      <c r="Q21" s="20">
        <v>45078.0</v>
      </c>
      <c r="R21" s="21">
        <v>45931.0</v>
      </c>
      <c r="S21" s="12">
        <v>1.0</v>
      </c>
      <c r="T21" s="12">
        <v>1.0</v>
      </c>
      <c r="U21" s="12">
        <v>0.0</v>
      </c>
      <c r="V21" s="12">
        <v>0.0</v>
      </c>
      <c r="W21" s="12">
        <v>1.0</v>
      </c>
      <c r="X21" s="12">
        <v>0.0</v>
      </c>
      <c r="Y21" s="12">
        <v>1.0</v>
      </c>
      <c r="Z21" s="12">
        <v>0.0</v>
      </c>
      <c r="AA21" s="12">
        <v>0.0</v>
      </c>
      <c r="AB21" s="12">
        <v>0.0</v>
      </c>
      <c r="AC21" s="12">
        <v>0.0</v>
      </c>
      <c r="AD21" s="12">
        <v>0.0</v>
      </c>
      <c r="AE21" s="12">
        <v>0.0</v>
      </c>
      <c r="AF21" s="12">
        <v>0.0</v>
      </c>
      <c r="AG21" s="12">
        <v>0.0</v>
      </c>
      <c r="AH21" s="12">
        <v>0.0</v>
      </c>
      <c r="AI21" s="12">
        <v>0.0</v>
      </c>
    </row>
    <row r="22">
      <c r="A22" s="7" t="s">
        <v>50</v>
      </c>
      <c r="B22" s="1" t="s">
        <v>25</v>
      </c>
      <c r="C22" s="1" t="s">
        <v>51</v>
      </c>
      <c r="D22" s="13">
        <v>534.0</v>
      </c>
      <c r="E22" s="13">
        <v>323.0</v>
      </c>
      <c r="F22" s="14">
        <v>0.1111111111111111</v>
      </c>
      <c r="G22" s="14">
        <v>0.1111111111111111</v>
      </c>
      <c r="H22" s="15">
        <f t="shared" si="1"/>
        <v>117</v>
      </c>
      <c r="I22" s="15">
        <v>12.0</v>
      </c>
      <c r="J22" s="16">
        <v>13.0</v>
      </c>
      <c r="K22" s="17">
        <v>7681776.9230769</v>
      </c>
      <c r="L22" s="17">
        <f t="shared" si="2"/>
        <v>61609.6613</v>
      </c>
      <c r="M22" s="18">
        <v>124.68461538461537</v>
      </c>
      <c r="N22" s="7" t="s">
        <v>131</v>
      </c>
      <c r="O22" s="19">
        <v>23.056115964568114</v>
      </c>
      <c r="P22" s="19">
        <v>-109.71409633019769</v>
      </c>
      <c r="Q22" s="20">
        <v>45566.0</v>
      </c>
      <c r="R22" s="21">
        <v>45931.0</v>
      </c>
      <c r="S22" s="12">
        <v>1.0</v>
      </c>
      <c r="T22" s="12">
        <v>1.0</v>
      </c>
      <c r="U22" s="12">
        <v>1.0</v>
      </c>
      <c r="V22" s="12">
        <v>0.0</v>
      </c>
      <c r="W22" s="12">
        <v>0.0</v>
      </c>
      <c r="X22" s="12">
        <v>0.0</v>
      </c>
      <c r="Y22" s="12">
        <v>1.0</v>
      </c>
      <c r="Z22" s="12">
        <v>0.0</v>
      </c>
      <c r="AA22" s="12">
        <v>1.0</v>
      </c>
      <c r="AB22" s="12">
        <v>0.0</v>
      </c>
      <c r="AC22" s="12">
        <v>0.0</v>
      </c>
      <c r="AD22" s="12">
        <v>0.0</v>
      </c>
      <c r="AE22" s="12">
        <v>0.0</v>
      </c>
      <c r="AF22" s="12">
        <v>0.0</v>
      </c>
      <c r="AG22" s="12">
        <v>0.0</v>
      </c>
      <c r="AH22" s="12">
        <v>0.0</v>
      </c>
      <c r="AI22" s="12">
        <v>0.0</v>
      </c>
    </row>
    <row r="23">
      <c r="A23" s="7" t="s">
        <v>62</v>
      </c>
      <c r="B23" s="1" t="s">
        <v>53</v>
      </c>
      <c r="C23" s="1" t="s">
        <v>54</v>
      </c>
      <c r="D23" s="13">
        <v>213.0</v>
      </c>
      <c r="E23" s="13">
        <v>12.0</v>
      </c>
      <c r="F23" s="14">
        <v>0.1111111111111111</v>
      </c>
      <c r="G23" s="14">
        <v>0.1111111111111111</v>
      </c>
      <c r="H23" s="15">
        <f t="shared" si="1"/>
        <v>207</v>
      </c>
      <c r="I23" s="15">
        <v>37.0</v>
      </c>
      <c r="J23" s="16">
        <v>23.0</v>
      </c>
      <c r="K23" s="17">
        <v>2.4072456521739E7</v>
      </c>
      <c r="L23" s="17">
        <f t="shared" si="2"/>
        <v>127162.7239</v>
      </c>
      <c r="M23" s="18">
        <v>189.30434782608697</v>
      </c>
      <c r="N23" s="7" t="s">
        <v>132</v>
      </c>
      <c r="O23" s="19">
        <v>23.042661809914755</v>
      </c>
      <c r="P23" s="19">
        <v>-109.70013507591858</v>
      </c>
      <c r="Q23" s="20">
        <v>44805.0</v>
      </c>
      <c r="R23" s="21">
        <v>45931.0</v>
      </c>
      <c r="S23" s="12">
        <v>1.0</v>
      </c>
      <c r="T23" s="12">
        <v>1.0</v>
      </c>
      <c r="U23" s="12">
        <v>0.0</v>
      </c>
      <c r="V23" s="12">
        <v>0.0</v>
      </c>
      <c r="W23" s="12">
        <v>0.0</v>
      </c>
      <c r="X23" s="12">
        <v>0.0</v>
      </c>
      <c r="Y23" s="12">
        <v>1.0</v>
      </c>
      <c r="Z23" s="12">
        <v>1.0</v>
      </c>
      <c r="AA23" s="12">
        <v>0.0</v>
      </c>
      <c r="AB23" s="12">
        <v>1.0</v>
      </c>
      <c r="AC23" s="12">
        <v>0.0</v>
      </c>
      <c r="AD23" s="12">
        <v>0.0</v>
      </c>
      <c r="AE23" s="12">
        <v>0.0</v>
      </c>
      <c r="AF23" s="12">
        <v>0.0</v>
      </c>
      <c r="AG23" s="12">
        <v>0.0</v>
      </c>
      <c r="AH23" s="12">
        <v>0.0</v>
      </c>
      <c r="AI23" s="12">
        <v>0.0</v>
      </c>
    </row>
    <row r="24">
      <c r="A24" s="7" t="s">
        <v>64</v>
      </c>
      <c r="B24" s="1" t="s">
        <v>25</v>
      </c>
      <c r="C24" s="1" t="s">
        <v>56</v>
      </c>
      <c r="D24" s="13">
        <v>124.0</v>
      </c>
      <c r="E24" s="13">
        <v>23.0</v>
      </c>
      <c r="F24" s="14">
        <v>0.1111111111111111</v>
      </c>
      <c r="G24" s="14">
        <v>0.1111111111111111</v>
      </c>
      <c r="H24" s="15">
        <f t="shared" si="1"/>
        <v>27</v>
      </c>
      <c r="I24" s="15">
        <v>113.0</v>
      </c>
      <c r="J24" s="16">
        <v>3.0</v>
      </c>
      <c r="K24" s="17">
        <v>7.7775E7</v>
      </c>
      <c r="L24" s="17">
        <f t="shared" si="2"/>
        <v>217613.3184</v>
      </c>
      <c r="M24" s="18">
        <v>357.3999999999999</v>
      </c>
      <c r="N24" s="7" t="s">
        <v>133</v>
      </c>
      <c r="O24" s="19">
        <v>23.030397939370573</v>
      </c>
      <c r="P24" s="19">
        <v>-109.74862478004465</v>
      </c>
      <c r="Q24" s="20">
        <v>42522.0</v>
      </c>
      <c r="R24" s="21">
        <v>45931.0</v>
      </c>
      <c r="S24" s="12">
        <v>1.0</v>
      </c>
      <c r="T24" s="12">
        <v>0.0</v>
      </c>
      <c r="U24" s="12">
        <v>1.0</v>
      </c>
      <c r="V24" s="12">
        <v>1.0</v>
      </c>
      <c r="W24" s="12">
        <v>1.0</v>
      </c>
      <c r="X24" s="12">
        <v>0.0</v>
      </c>
      <c r="Y24" s="12">
        <v>1.0</v>
      </c>
      <c r="Z24" s="12">
        <v>0.0</v>
      </c>
      <c r="AA24" s="12">
        <v>0.0</v>
      </c>
      <c r="AB24" s="12">
        <v>0.0</v>
      </c>
      <c r="AC24" s="12">
        <v>0.0</v>
      </c>
      <c r="AD24" s="12">
        <v>0.0</v>
      </c>
      <c r="AE24" s="12">
        <v>0.0</v>
      </c>
      <c r="AF24" s="12">
        <v>0.0</v>
      </c>
      <c r="AG24" s="12">
        <v>0.0</v>
      </c>
      <c r="AH24" s="12">
        <v>0.0</v>
      </c>
      <c r="AI24" s="12">
        <v>1.0</v>
      </c>
    </row>
    <row r="25">
      <c r="A25" s="7" t="s">
        <v>6</v>
      </c>
      <c r="B25" s="1" t="s">
        <v>58</v>
      </c>
      <c r="C25" s="1" t="s">
        <v>59</v>
      </c>
      <c r="D25" s="13">
        <v>421.0</v>
      </c>
      <c r="E25" s="13">
        <v>12.0</v>
      </c>
      <c r="F25" s="14">
        <v>0.0</v>
      </c>
      <c r="G25" s="14">
        <v>0.0</v>
      </c>
      <c r="H25" s="15">
        <f t="shared" si="1"/>
        <v>0</v>
      </c>
      <c r="I25" s="15">
        <v>7.0</v>
      </c>
      <c r="J25" s="16">
        <v>16.0</v>
      </c>
      <c r="K25" s="17">
        <v>1.08580190625E7</v>
      </c>
      <c r="L25" s="17">
        <f t="shared" si="2"/>
        <v>66360.4366</v>
      </c>
      <c r="M25" s="18">
        <v>163.621875</v>
      </c>
      <c r="N25" s="7" t="s">
        <v>134</v>
      </c>
      <c r="O25" s="19">
        <v>23.069396554425566</v>
      </c>
      <c r="P25" s="19">
        <v>-109.68076929573918</v>
      </c>
      <c r="Q25" s="20">
        <v>45717.0</v>
      </c>
      <c r="R25" s="21">
        <v>45931.0</v>
      </c>
      <c r="S25" s="12">
        <v>1.0</v>
      </c>
      <c r="T25" s="12">
        <v>0.0</v>
      </c>
      <c r="U25" s="12">
        <v>0.0</v>
      </c>
      <c r="V25" s="12">
        <v>1.0</v>
      </c>
      <c r="W25" s="12">
        <v>0.0</v>
      </c>
      <c r="X25" s="12">
        <v>0.0</v>
      </c>
      <c r="Y25" s="12">
        <v>1.0</v>
      </c>
      <c r="Z25" s="12">
        <v>0.0</v>
      </c>
      <c r="AA25" s="12">
        <v>0.0</v>
      </c>
      <c r="AB25" s="12">
        <v>0.0</v>
      </c>
      <c r="AC25" s="12">
        <v>0.0</v>
      </c>
      <c r="AD25" s="12">
        <v>0.0</v>
      </c>
      <c r="AE25" s="12">
        <v>0.0</v>
      </c>
      <c r="AF25" s="12">
        <v>0.0</v>
      </c>
      <c r="AG25" s="12">
        <v>0.0</v>
      </c>
      <c r="AH25" s="12">
        <v>0.0</v>
      </c>
      <c r="AI25" s="12">
        <v>1.0</v>
      </c>
    </row>
    <row r="26">
      <c r="A26" s="7" t="s">
        <v>15</v>
      </c>
      <c r="B26" s="1" t="s">
        <v>25</v>
      </c>
      <c r="C26" s="1" t="s">
        <v>61</v>
      </c>
      <c r="D26" s="13">
        <v>312.0</v>
      </c>
      <c r="E26" s="13">
        <v>323.0</v>
      </c>
      <c r="F26" s="14">
        <v>0.0</v>
      </c>
      <c r="G26" s="14">
        <v>0.0</v>
      </c>
      <c r="H26" s="15">
        <f t="shared" si="1"/>
        <v>0</v>
      </c>
      <c r="I26" s="15">
        <v>49.0</v>
      </c>
      <c r="J26" s="16">
        <v>1.0</v>
      </c>
      <c r="K26" s="17">
        <v>5668425.0</v>
      </c>
      <c r="L26" s="17">
        <f t="shared" si="2"/>
        <v>58960.11026</v>
      </c>
      <c r="M26" s="18">
        <v>96.14</v>
      </c>
      <c r="N26" s="7" t="s">
        <v>132</v>
      </c>
      <c r="O26" s="19">
        <v>23.001391372609802</v>
      </c>
      <c r="P26" s="19">
        <v>-109.73785823604513</v>
      </c>
      <c r="Q26" s="20">
        <v>44440.0</v>
      </c>
      <c r="R26" s="21">
        <v>45931.0</v>
      </c>
      <c r="S26" s="12">
        <v>1.0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1.0</v>
      </c>
      <c r="Z26" s="12">
        <v>0.0</v>
      </c>
      <c r="AA26" s="12">
        <v>0.0</v>
      </c>
      <c r="AB26" s="12">
        <v>0.0</v>
      </c>
      <c r="AC26" s="12">
        <v>0.0</v>
      </c>
      <c r="AD26" s="12">
        <v>0.0</v>
      </c>
      <c r="AE26" s="12">
        <v>0.0</v>
      </c>
      <c r="AF26" s="12">
        <v>0.0</v>
      </c>
      <c r="AG26" s="12">
        <v>0.0</v>
      </c>
      <c r="AH26" s="12">
        <v>0.0</v>
      </c>
      <c r="AI26" s="12">
        <v>1.0</v>
      </c>
    </row>
    <row r="27">
      <c r="A27" s="7" t="s">
        <v>27</v>
      </c>
      <c r="B27" s="1" t="s">
        <v>25</v>
      </c>
      <c r="C27" s="1" t="s">
        <v>63</v>
      </c>
      <c r="D27" s="13">
        <v>412.0</v>
      </c>
      <c r="E27" s="13">
        <v>12.0</v>
      </c>
      <c r="F27" s="14">
        <v>0.0</v>
      </c>
      <c r="G27" s="14">
        <v>0.0</v>
      </c>
      <c r="H27" s="15">
        <f t="shared" si="1"/>
        <v>0</v>
      </c>
      <c r="I27" s="15">
        <v>33.0</v>
      </c>
      <c r="J27" s="16">
        <v>10.0</v>
      </c>
      <c r="K27" s="17">
        <v>5.703195E7</v>
      </c>
      <c r="L27" s="17">
        <f t="shared" si="2"/>
        <v>201135.4259</v>
      </c>
      <c r="M27" s="18">
        <v>283.55000000000007</v>
      </c>
      <c r="N27" s="7" t="s">
        <v>132</v>
      </c>
      <c r="O27" s="19">
        <v>23.032395342666387</v>
      </c>
      <c r="P27" s="19">
        <v>-109.7360532534879</v>
      </c>
      <c r="Q27" s="20">
        <v>44927.0</v>
      </c>
      <c r="R27" s="21">
        <v>45931.0</v>
      </c>
      <c r="S27" s="12">
        <v>1.0</v>
      </c>
      <c r="T27" s="12">
        <v>0.0</v>
      </c>
      <c r="U27" s="12">
        <v>1.0</v>
      </c>
      <c r="V27" s="12">
        <v>0.0</v>
      </c>
      <c r="W27" s="12">
        <v>0.0</v>
      </c>
      <c r="X27" s="12">
        <v>0.0</v>
      </c>
      <c r="Y27" s="12">
        <v>1.0</v>
      </c>
      <c r="Z27" s="12">
        <v>0.0</v>
      </c>
      <c r="AA27" s="12">
        <v>0.0</v>
      </c>
      <c r="AB27" s="12">
        <v>0.0</v>
      </c>
      <c r="AC27" s="12">
        <v>0.0</v>
      </c>
      <c r="AD27" s="12">
        <v>0.0</v>
      </c>
      <c r="AE27" s="12">
        <v>0.0</v>
      </c>
      <c r="AF27" s="12">
        <v>0.0</v>
      </c>
      <c r="AG27" s="12">
        <v>0.0</v>
      </c>
      <c r="AH27" s="12">
        <v>0.0</v>
      </c>
      <c r="AI27" s="12">
        <v>1.0</v>
      </c>
    </row>
    <row r="28">
      <c r="A28" s="7" t="s">
        <v>29</v>
      </c>
      <c r="B28" s="1" t="s">
        <v>25</v>
      </c>
      <c r="C28" s="1" t="s">
        <v>65</v>
      </c>
      <c r="D28" s="13">
        <v>123.0</v>
      </c>
      <c r="E28" s="13">
        <v>23.0</v>
      </c>
      <c r="F28" s="14">
        <v>0.0</v>
      </c>
      <c r="G28" s="14">
        <v>0.0</v>
      </c>
      <c r="H28" s="15">
        <f t="shared" si="1"/>
        <v>0</v>
      </c>
      <c r="I28" s="15">
        <v>29.0</v>
      </c>
      <c r="J28" s="16">
        <v>3.0</v>
      </c>
      <c r="K28" s="17">
        <v>6.8747E7</v>
      </c>
      <c r="L28" s="17">
        <f t="shared" si="2"/>
        <v>185928.33</v>
      </c>
      <c r="M28" s="18">
        <v>369.75</v>
      </c>
      <c r="N28" s="7" t="s">
        <v>132</v>
      </c>
      <c r="O28" s="19">
        <v>23.039832274587063</v>
      </c>
      <c r="P28" s="19">
        <v>-109.7033738016913</v>
      </c>
      <c r="Q28" s="20">
        <v>45047.0</v>
      </c>
      <c r="R28" s="21">
        <v>45931.0</v>
      </c>
      <c r="S28" s="12">
        <v>1.0</v>
      </c>
      <c r="T28" s="12">
        <v>0.0</v>
      </c>
      <c r="U28" s="12">
        <v>1.0</v>
      </c>
      <c r="V28" s="12">
        <v>0.0</v>
      </c>
      <c r="W28" s="12">
        <v>0.0</v>
      </c>
      <c r="X28" s="12">
        <v>0.0</v>
      </c>
      <c r="Y28" s="12">
        <v>1.0</v>
      </c>
      <c r="Z28" s="12">
        <v>0.0</v>
      </c>
      <c r="AA28" s="12">
        <v>0.0</v>
      </c>
      <c r="AB28" s="12">
        <v>0.0</v>
      </c>
      <c r="AC28" s="12">
        <v>0.0</v>
      </c>
      <c r="AD28" s="12">
        <v>0.0</v>
      </c>
      <c r="AE28" s="12">
        <v>0.0</v>
      </c>
      <c r="AF28" s="12">
        <v>0.0</v>
      </c>
      <c r="AG28" s="12">
        <v>0.0</v>
      </c>
      <c r="AH28" s="12">
        <v>0.0</v>
      </c>
      <c r="AI28" s="12">
        <v>1.0</v>
      </c>
    </row>
    <row r="29">
      <c r="A29" s="7" t="s">
        <v>57</v>
      </c>
      <c r="B29" s="1" t="s">
        <v>25</v>
      </c>
      <c r="C29" s="1" t="s">
        <v>67</v>
      </c>
      <c r="D29" s="13">
        <v>125.0</v>
      </c>
      <c r="E29" s="13">
        <v>12.0</v>
      </c>
      <c r="F29" s="14">
        <v>0.0</v>
      </c>
      <c r="G29" s="14">
        <v>0.0</v>
      </c>
      <c r="H29" s="15">
        <f t="shared" si="1"/>
        <v>0</v>
      </c>
      <c r="I29" s="15">
        <v>33.0</v>
      </c>
      <c r="J29" s="16">
        <v>14.0</v>
      </c>
      <c r="K29" s="17">
        <v>6775773.6857143</v>
      </c>
      <c r="L29" s="17">
        <f t="shared" si="2"/>
        <v>54549.06935</v>
      </c>
      <c r="M29" s="18">
        <v>124.21428571428571</v>
      </c>
      <c r="N29" s="7" t="s">
        <v>132</v>
      </c>
      <c r="O29" s="19">
        <v>23.025847538221697</v>
      </c>
      <c r="P29" s="19">
        <v>-109.72037125172005</v>
      </c>
      <c r="Q29" s="20">
        <v>44927.0</v>
      </c>
      <c r="R29" s="21">
        <v>45931.0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1.0</v>
      </c>
      <c r="Z29" s="12">
        <v>0.0</v>
      </c>
      <c r="AA29" s="12">
        <v>0.0</v>
      </c>
      <c r="AB29" s="12">
        <v>1.0</v>
      </c>
      <c r="AC29" s="12">
        <v>0.0</v>
      </c>
      <c r="AD29" s="12">
        <v>1.0</v>
      </c>
      <c r="AE29" s="12">
        <v>0.0</v>
      </c>
      <c r="AF29" s="12">
        <v>1.0</v>
      </c>
      <c r="AG29" s="12">
        <v>1.0</v>
      </c>
      <c r="AH29" s="12">
        <v>0.0</v>
      </c>
      <c r="AI29" s="12">
        <v>0.0</v>
      </c>
    </row>
    <row r="30">
      <c r="A30" s="7" t="s">
        <v>66</v>
      </c>
      <c r="B30" s="1" t="s">
        <v>69</v>
      </c>
      <c r="C30" s="1" t="s">
        <v>70</v>
      </c>
      <c r="D30" s="13">
        <v>127.0</v>
      </c>
      <c r="E30" s="13">
        <v>23.0</v>
      </c>
      <c r="F30" s="14">
        <v>0.0</v>
      </c>
      <c r="G30" s="14">
        <v>0.0</v>
      </c>
      <c r="H30" s="15">
        <f t="shared" si="1"/>
        <v>0</v>
      </c>
      <c r="I30" s="15">
        <v>1.0</v>
      </c>
      <c r="J30" s="16">
        <v>48.0</v>
      </c>
      <c r="K30" s="17">
        <v>7297544.375</v>
      </c>
      <c r="L30" s="17">
        <f t="shared" si="2"/>
        <v>65021.1854</v>
      </c>
      <c r="M30" s="18">
        <v>112.23333333333328</v>
      </c>
      <c r="N30" s="7" t="s">
        <v>134</v>
      </c>
      <c r="O30" s="19">
        <v>23.059228125914135</v>
      </c>
      <c r="P30" s="19">
        <v>-109.71229531905529</v>
      </c>
      <c r="Q30" s="20">
        <v>45901.0</v>
      </c>
      <c r="R30" s="21">
        <v>45931.0</v>
      </c>
      <c r="S30" s="12">
        <v>1.0</v>
      </c>
      <c r="T30" s="12">
        <v>1.0</v>
      </c>
      <c r="U30" s="12">
        <v>1.0</v>
      </c>
      <c r="V30" s="12">
        <v>1.0</v>
      </c>
      <c r="W30" s="12">
        <v>0.0</v>
      </c>
      <c r="X30" s="12">
        <v>0.0</v>
      </c>
      <c r="Y30" s="12">
        <v>1.0</v>
      </c>
      <c r="Z30" s="12">
        <v>1.0</v>
      </c>
      <c r="AA30" s="12">
        <v>1.0</v>
      </c>
      <c r="AB30" s="12">
        <v>1.0</v>
      </c>
      <c r="AC30" s="12">
        <v>0.0</v>
      </c>
      <c r="AD30" s="12">
        <v>0.0</v>
      </c>
      <c r="AE30" s="12">
        <v>0.0</v>
      </c>
      <c r="AF30" s="12">
        <v>1.0</v>
      </c>
      <c r="AG30" s="12">
        <v>0.0</v>
      </c>
      <c r="AH30" s="12">
        <v>0.0</v>
      </c>
      <c r="AI30" s="12">
        <v>1.0</v>
      </c>
    </row>
  </sheetData>
  <drawing r:id="rId1"/>
</worksheet>
</file>